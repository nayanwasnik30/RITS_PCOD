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sni\Downloads\"/>
    </mc:Choice>
  </mc:AlternateContent>
  <xr:revisionPtr revIDLastSave="0" documentId="13_ncr:1_{D4A9ED66-12CB-4369-8B7F-A54E362B4056}" xr6:coauthVersionLast="47" xr6:coauthVersionMax="47" xr10:uidLastSave="{00000000-0000-0000-0000-000000000000}"/>
  <bookViews>
    <workbookView xWindow="-108" yWindow="-108" windowWidth="23256" windowHeight="12456" tabRatio="500" firstSheet="2" activeTab="10" xr2:uid="{00000000-000D-0000-FFFF-FFFF00000000}"/>
  </bookViews>
  <sheets>
    <sheet name="Dashboard" sheetId="1" r:id="rId1"/>
    <sheet name="Lists" sheetId="2" r:id="rId2"/>
    <sheet name="Settings" sheetId="3" r:id="rId3"/>
    <sheet name="January" sheetId="4" r:id="rId4"/>
    <sheet name="February" sheetId="5" r:id="rId5"/>
    <sheet name="March" sheetId="6" r:id="rId6"/>
    <sheet name="April" sheetId="7" r:id="rId7"/>
    <sheet name="May" sheetId="8" r:id="rId8"/>
    <sheet name="June" sheetId="9" r:id="rId9"/>
    <sheet name="July" sheetId="10" r:id="rId10"/>
    <sheet name="August" sheetId="11" r:id="rId11"/>
    <sheet name="September" sheetId="12" r:id="rId12"/>
    <sheet name="October" sheetId="13" r:id="rId13"/>
    <sheet name="November" sheetId="14" r:id="rId14"/>
    <sheet name="December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1" l="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D33" i="15"/>
  <c r="B33" i="15"/>
  <c r="D32" i="15"/>
  <c r="B32" i="15"/>
  <c r="D31" i="15"/>
  <c r="B31" i="15"/>
  <c r="D30" i="15"/>
  <c r="B30" i="15"/>
  <c r="D29" i="15"/>
  <c r="B29" i="15"/>
  <c r="D28" i="15"/>
  <c r="B28" i="15"/>
  <c r="D27" i="15"/>
  <c r="B27" i="15"/>
  <c r="D26" i="15"/>
  <c r="B26" i="15"/>
  <c r="D25" i="15"/>
  <c r="B25" i="15"/>
  <c r="D24" i="15"/>
  <c r="B24" i="15"/>
  <c r="D23" i="15"/>
  <c r="B23" i="15"/>
  <c r="D22" i="15"/>
  <c r="B22" i="15"/>
  <c r="D21" i="15"/>
  <c r="B21" i="15"/>
  <c r="D20" i="15"/>
  <c r="B20" i="15"/>
  <c r="D19" i="15"/>
  <c r="B19" i="15"/>
  <c r="D18" i="15"/>
  <c r="B18" i="15"/>
  <c r="D17" i="15"/>
  <c r="B17" i="15"/>
  <c r="D16" i="15"/>
  <c r="B16" i="15"/>
  <c r="D15" i="15"/>
  <c r="B15" i="15"/>
  <c r="D14" i="15"/>
  <c r="B14" i="15"/>
  <c r="D13" i="15"/>
  <c r="B13" i="15"/>
  <c r="D12" i="15"/>
  <c r="B12" i="15"/>
  <c r="D11" i="15"/>
  <c r="B11" i="15"/>
  <c r="D10" i="15"/>
  <c r="B10" i="15"/>
  <c r="D9" i="15"/>
  <c r="B9" i="15"/>
  <c r="D8" i="15"/>
  <c r="B8" i="15"/>
  <c r="D7" i="15"/>
  <c r="B7" i="15"/>
  <c r="D6" i="15"/>
  <c r="B6" i="15"/>
  <c r="D5" i="15"/>
  <c r="B5" i="15"/>
  <c r="D4" i="15"/>
  <c r="B4" i="15"/>
  <c r="D3" i="15"/>
  <c r="B3" i="15"/>
  <c r="D33" i="14"/>
  <c r="B33" i="14"/>
  <c r="D32" i="14"/>
  <c r="B32" i="14"/>
  <c r="D31" i="14"/>
  <c r="B31" i="14"/>
  <c r="D30" i="14"/>
  <c r="B30" i="14"/>
  <c r="D29" i="14"/>
  <c r="B29" i="14"/>
  <c r="D28" i="14"/>
  <c r="B28" i="14"/>
  <c r="D27" i="14"/>
  <c r="B27" i="14"/>
  <c r="D26" i="14"/>
  <c r="B26" i="14"/>
  <c r="D25" i="14"/>
  <c r="B25" i="14"/>
  <c r="D24" i="14"/>
  <c r="B24" i="14"/>
  <c r="D23" i="14"/>
  <c r="B23" i="14"/>
  <c r="D22" i="14"/>
  <c r="B22" i="14"/>
  <c r="D21" i="14"/>
  <c r="B21" i="14"/>
  <c r="D20" i="14"/>
  <c r="B20" i="14"/>
  <c r="D19" i="14"/>
  <c r="B19" i="14"/>
  <c r="D18" i="14"/>
  <c r="B18" i="14"/>
  <c r="D17" i="14"/>
  <c r="B17" i="14"/>
  <c r="D16" i="14"/>
  <c r="B16" i="14"/>
  <c r="D15" i="14"/>
  <c r="B15" i="14"/>
  <c r="D14" i="14"/>
  <c r="B14" i="14"/>
  <c r="D13" i="14"/>
  <c r="B13" i="14"/>
  <c r="D12" i="14"/>
  <c r="B12" i="14"/>
  <c r="D11" i="14"/>
  <c r="B11" i="14"/>
  <c r="D10" i="14"/>
  <c r="B10" i="14"/>
  <c r="D9" i="14"/>
  <c r="B9" i="14"/>
  <c r="D8" i="14"/>
  <c r="B8" i="14"/>
  <c r="D7" i="14"/>
  <c r="B7" i="14"/>
  <c r="D6" i="14"/>
  <c r="B6" i="14"/>
  <c r="D5" i="14"/>
  <c r="B5" i="14"/>
  <c r="D4" i="14"/>
  <c r="B4" i="14"/>
  <c r="D3" i="14"/>
  <c r="B3" i="14"/>
  <c r="D33" i="13"/>
  <c r="B33" i="13"/>
  <c r="D32" i="13"/>
  <c r="B32" i="13"/>
  <c r="D31" i="13"/>
  <c r="B31" i="13"/>
  <c r="D30" i="13"/>
  <c r="B30" i="13"/>
  <c r="D29" i="13"/>
  <c r="B29" i="13"/>
  <c r="D28" i="13"/>
  <c r="B28" i="13"/>
  <c r="D27" i="13"/>
  <c r="B27" i="13"/>
  <c r="D26" i="13"/>
  <c r="B26" i="13"/>
  <c r="D25" i="13"/>
  <c r="B25" i="13"/>
  <c r="D24" i="13"/>
  <c r="B24" i="13"/>
  <c r="D23" i="13"/>
  <c r="B23" i="13"/>
  <c r="D22" i="13"/>
  <c r="B22" i="13"/>
  <c r="D21" i="13"/>
  <c r="B21" i="13"/>
  <c r="D20" i="13"/>
  <c r="B20" i="13"/>
  <c r="D19" i="13"/>
  <c r="B19" i="13"/>
  <c r="D18" i="13"/>
  <c r="B18" i="13"/>
  <c r="D17" i="13"/>
  <c r="B17" i="13"/>
  <c r="D16" i="13"/>
  <c r="B16" i="13"/>
  <c r="D15" i="13"/>
  <c r="B15" i="13"/>
  <c r="D14" i="13"/>
  <c r="B14" i="13"/>
  <c r="D13" i="13"/>
  <c r="B13" i="13"/>
  <c r="D12" i="13"/>
  <c r="B12" i="13"/>
  <c r="D11" i="13"/>
  <c r="B11" i="13"/>
  <c r="D10" i="13"/>
  <c r="B10" i="13"/>
  <c r="D9" i="13"/>
  <c r="B9" i="13"/>
  <c r="D8" i="13"/>
  <c r="B8" i="13"/>
  <c r="D7" i="13"/>
  <c r="B7" i="13"/>
  <c r="D6" i="13"/>
  <c r="B6" i="13"/>
  <c r="D5" i="13"/>
  <c r="B5" i="13"/>
  <c r="D4" i="13"/>
  <c r="B4" i="13"/>
  <c r="D3" i="13"/>
  <c r="B3" i="13"/>
  <c r="D33" i="12"/>
  <c r="B33" i="12"/>
  <c r="D32" i="12"/>
  <c r="B32" i="12"/>
  <c r="D31" i="12"/>
  <c r="B31" i="12"/>
  <c r="D30" i="12"/>
  <c r="B30" i="12"/>
  <c r="D29" i="12"/>
  <c r="B29" i="12"/>
  <c r="D28" i="12"/>
  <c r="B28" i="12"/>
  <c r="D27" i="12"/>
  <c r="B27" i="12"/>
  <c r="D26" i="12"/>
  <c r="B26" i="12"/>
  <c r="D25" i="12"/>
  <c r="B25" i="12"/>
  <c r="D24" i="12"/>
  <c r="B24" i="12"/>
  <c r="D23" i="12"/>
  <c r="B23" i="12"/>
  <c r="D22" i="12"/>
  <c r="B22" i="12"/>
  <c r="D21" i="12"/>
  <c r="B21" i="12"/>
  <c r="D20" i="12"/>
  <c r="B20" i="12"/>
  <c r="D19" i="12"/>
  <c r="B19" i="12"/>
  <c r="D18" i="12"/>
  <c r="B18" i="12"/>
  <c r="D17" i="12"/>
  <c r="B17" i="12"/>
  <c r="D16" i="12"/>
  <c r="B16" i="12"/>
  <c r="D15" i="12"/>
  <c r="B15" i="12"/>
  <c r="D14" i="12"/>
  <c r="B14" i="12"/>
  <c r="D13" i="12"/>
  <c r="B13" i="12"/>
  <c r="D12" i="12"/>
  <c r="B12" i="12"/>
  <c r="D11" i="12"/>
  <c r="B11" i="12"/>
  <c r="D10" i="12"/>
  <c r="B10" i="12"/>
  <c r="D9" i="12"/>
  <c r="B9" i="12"/>
  <c r="D8" i="12"/>
  <c r="B8" i="12"/>
  <c r="D7" i="12"/>
  <c r="B7" i="12"/>
  <c r="D6" i="12"/>
  <c r="B6" i="12"/>
  <c r="D5" i="12"/>
  <c r="B5" i="12"/>
  <c r="D4" i="12"/>
  <c r="B4" i="12"/>
  <c r="D3" i="12"/>
  <c r="B3" i="12"/>
  <c r="D33" i="11"/>
  <c r="B33" i="11"/>
  <c r="D32" i="11"/>
  <c r="B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B3" i="11"/>
  <c r="D33" i="10"/>
  <c r="B33" i="10"/>
  <c r="D32" i="10"/>
  <c r="B32" i="10"/>
  <c r="D31" i="10"/>
  <c r="B31" i="10"/>
  <c r="D30" i="10"/>
  <c r="B30" i="10"/>
  <c r="D29" i="10"/>
  <c r="B29" i="10"/>
  <c r="D28" i="10"/>
  <c r="B28" i="10"/>
  <c r="D27" i="10"/>
  <c r="B27" i="10"/>
  <c r="D26" i="10"/>
  <c r="B26" i="10"/>
  <c r="D25" i="10"/>
  <c r="B25" i="10"/>
  <c r="D24" i="10"/>
  <c r="B24" i="10"/>
  <c r="D23" i="10"/>
  <c r="B23" i="10"/>
  <c r="D22" i="10"/>
  <c r="B22" i="10"/>
  <c r="D21" i="10"/>
  <c r="B21" i="10"/>
  <c r="D20" i="10"/>
  <c r="B20" i="10"/>
  <c r="D19" i="10"/>
  <c r="B19" i="10"/>
  <c r="D18" i="10"/>
  <c r="B18" i="10"/>
  <c r="D17" i="10"/>
  <c r="B17" i="10"/>
  <c r="D16" i="10"/>
  <c r="B16" i="10"/>
  <c r="D15" i="10"/>
  <c r="B15" i="10"/>
  <c r="D14" i="10"/>
  <c r="B14" i="10"/>
  <c r="D13" i="10"/>
  <c r="B13" i="10"/>
  <c r="D12" i="10"/>
  <c r="B12" i="10"/>
  <c r="D11" i="10"/>
  <c r="B11" i="10"/>
  <c r="D10" i="10"/>
  <c r="B10" i="10"/>
  <c r="D9" i="10"/>
  <c r="B9" i="10"/>
  <c r="D8" i="10"/>
  <c r="B8" i="10"/>
  <c r="D7" i="10"/>
  <c r="B7" i="10"/>
  <c r="D6" i="10"/>
  <c r="B6" i="10"/>
  <c r="D5" i="10"/>
  <c r="B5" i="10"/>
  <c r="D4" i="10"/>
  <c r="B4" i="10"/>
  <c r="D3" i="10"/>
  <c r="B3" i="10"/>
  <c r="D33" i="9"/>
  <c r="B33" i="9"/>
  <c r="D32" i="9"/>
  <c r="B32" i="9"/>
  <c r="D31" i="9"/>
  <c r="B31" i="9"/>
  <c r="D30" i="9"/>
  <c r="B30" i="9"/>
  <c r="D29" i="9"/>
  <c r="B29" i="9"/>
  <c r="D28" i="9"/>
  <c r="B28" i="9"/>
  <c r="D27" i="9"/>
  <c r="B27" i="9"/>
  <c r="D26" i="9"/>
  <c r="B26" i="9"/>
  <c r="D25" i="9"/>
  <c r="B25" i="9"/>
  <c r="D24" i="9"/>
  <c r="B24" i="9"/>
  <c r="D23" i="9"/>
  <c r="B23" i="9"/>
  <c r="D22" i="9"/>
  <c r="B22" i="9"/>
  <c r="D21" i="9"/>
  <c r="B21" i="9"/>
  <c r="D20" i="9"/>
  <c r="B20" i="9"/>
  <c r="D19" i="9"/>
  <c r="B19" i="9"/>
  <c r="D18" i="9"/>
  <c r="B18" i="9"/>
  <c r="D17" i="9"/>
  <c r="B17" i="9"/>
  <c r="D16" i="9"/>
  <c r="B16" i="9"/>
  <c r="D15" i="9"/>
  <c r="B15" i="9"/>
  <c r="D14" i="9"/>
  <c r="B14" i="9"/>
  <c r="D13" i="9"/>
  <c r="B13" i="9"/>
  <c r="D12" i="9"/>
  <c r="B12" i="9"/>
  <c r="D11" i="9"/>
  <c r="B11" i="9"/>
  <c r="D10" i="9"/>
  <c r="B10" i="9"/>
  <c r="D9" i="9"/>
  <c r="B9" i="9"/>
  <c r="D8" i="9"/>
  <c r="B8" i="9"/>
  <c r="D7" i="9"/>
  <c r="B7" i="9"/>
  <c r="D6" i="9"/>
  <c r="B6" i="9"/>
  <c r="D5" i="9"/>
  <c r="B5" i="9"/>
  <c r="D4" i="9"/>
  <c r="B4" i="9"/>
  <c r="D3" i="9"/>
  <c r="B3" i="9"/>
  <c r="D33" i="8"/>
  <c r="B33" i="8"/>
  <c r="D32" i="8"/>
  <c r="B32" i="8"/>
  <c r="D31" i="8"/>
  <c r="B31" i="8"/>
  <c r="D30" i="8"/>
  <c r="B30" i="8"/>
  <c r="D29" i="8"/>
  <c r="B29" i="8"/>
  <c r="D28" i="8"/>
  <c r="B28" i="8"/>
  <c r="D27" i="8"/>
  <c r="B27" i="8"/>
  <c r="D26" i="8"/>
  <c r="B26" i="8"/>
  <c r="D25" i="8"/>
  <c r="B25" i="8"/>
  <c r="D24" i="8"/>
  <c r="B24" i="8"/>
  <c r="D23" i="8"/>
  <c r="B23" i="8"/>
  <c r="D22" i="8"/>
  <c r="B22" i="8"/>
  <c r="D21" i="8"/>
  <c r="B21" i="8"/>
  <c r="D20" i="8"/>
  <c r="B20" i="8"/>
  <c r="D19" i="8"/>
  <c r="B19" i="8"/>
  <c r="D18" i="8"/>
  <c r="B18" i="8"/>
  <c r="D17" i="8"/>
  <c r="B17" i="8"/>
  <c r="D16" i="8"/>
  <c r="B16" i="8"/>
  <c r="D15" i="8"/>
  <c r="B15" i="8"/>
  <c r="D14" i="8"/>
  <c r="B14" i="8"/>
  <c r="D13" i="8"/>
  <c r="B13" i="8"/>
  <c r="D12" i="8"/>
  <c r="B12" i="8"/>
  <c r="D11" i="8"/>
  <c r="B11" i="8"/>
  <c r="D10" i="8"/>
  <c r="B10" i="8"/>
  <c r="D9" i="8"/>
  <c r="B9" i="8"/>
  <c r="D8" i="8"/>
  <c r="B8" i="8"/>
  <c r="D7" i="8"/>
  <c r="B7" i="8"/>
  <c r="D6" i="8"/>
  <c r="B6" i="8"/>
  <c r="D5" i="8"/>
  <c r="B5" i="8"/>
  <c r="D4" i="8"/>
  <c r="B4" i="8"/>
  <c r="D3" i="8"/>
  <c r="B3" i="8"/>
  <c r="D33" i="7"/>
  <c r="B33" i="7"/>
  <c r="D32" i="7"/>
  <c r="B32" i="7"/>
  <c r="D31" i="7"/>
  <c r="B31" i="7"/>
  <c r="D30" i="7"/>
  <c r="B30" i="7"/>
  <c r="D29" i="7"/>
  <c r="B29" i="7"/>
  <c r="D28" i="7"/>
  <c r="B28" i="7"/>
  <c r="D27" i="7"/>
  <c r="B27" i="7"/>
  <c r="D26" i="7"/>
  <c r="B26" i="7"/>
  <c r="D25" i="7"/>
  <c r="B25" i="7"/>
  <c r="D24" i="7"/>
  <c r="B24" i="7"/>
  <c r="D23" i="7"/>
  <c r="B23" i="7"/>
  <c r="D22" i="7"/>
  <c r="B22" i="7"/>
  <c r="D21" i="7"/>
  <c r="B21" i="7"/>
  <c r="D20" i="7"/>
  <c r="B20" i="7"/>
  <c r="D19" i="7"/>
  <c r="B19" i="7"/>
  <c r="D18" i="7"/>
  <c r="B18" i="7"/>
  <c r="D17" i="7"/>
  <c r="B17" i="7"/>
  <c r="D16" i="7"/>
  <c r="B16" i="7"/>
  <c r="D15" i="7"/>
  <c r="B15" i="7"/>
  <c r="D14" i="7"/>
  <c r="B14" i="7"/>
  <c r="D13" i="7"/>
  <c r="B13" i="7"/>
  <c r="D12" i="7"/>
  <c r="B12" i="7"/>
  <c r="D11" i="7"/>
  <c r="B11" i="7"/>
  <c r="D10" i="7"/>
  <c r="B10" i="7"/>
  <c r="D9" i="7"/>
  <c r="B9" i="7"/>
  <c r="D8" i="7"/>
  <c r="B8" i="7"/>
  <c r="D7" i="7"/>
  <c r="B7" i="7"/>
  <c r="D6" i="7"/>
  <c r="B6" i="7"/>
  <c r="D5" i="7"/>
  <c r="B5" i="7"/>
  <c r="D4" i="7"/>
  <c r="B4" i="7"/>
  <c r="D3" i="7"/>
  <c r="B3" i="7"/>
  <c r="D33" i="6"/>
  <c r="B33" i="6"/>
  <c r="D32" i="6"/>
  <c r="B32" i="6"/>
  <c r="D31" i="6"/>
  <c r="B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B3" i="5"/>
  <c r="D33" i="4"/>
  <c r="B33" i="4"/>
  <c r="D32" i="4"/>
  <c r="B32" i="4"/>
  <c r="D31" i="4"/>
  <c r="B31" i="4"/>
  <c r="D30" i="4"/>
  <c r="B30" i="4"/>
  <c r="D29" i="4"/>
  <c r="B29" i="4"/>
  <c r="D28" i="4"/>
  <c r="B28" i="4"/>
  <c r="D27" i="4"/>
  <c r="B27" i="4"/>
  <c r="D26" i="4"/>
  <c r="B26" i="4"/>
  <c r="D25" i="4"/>
  <c r="B25" i="4"/>
  <c r="D24" i="4"/>
  <c r="B24" i="4"/>
  <c r="D23" i="4"/>
  <c r="B23" i="4"/>
  <c r="D22" i="4"/>
  <c r="B22" i="4"/>
  <c r="D21" i="4"/>
  <c r="B21" i="4"/>
  <c r="D20" i="4"/>
  <c r="B20" i="4"/>
  <c r="D19" i="4"/>
  <c r="B19" i="4"/>
  <c r="D18" i="4"/>
  <c r="B18" i="4"/>
  <c r="D17" i="4"/>
  <c r="B17" i="4"/>
  <c r="D16" i="4"/>
  <c r="B16" i="4"/>
  <c r="D15" i="4"/>
  <c r="B15" i="4"/>
  <c r="D14" i="4"/>
  <c r="B14" i="4"/>
  <c r="D13" i="4"/>
  <c r="B13" i="4"/>
  <c r="D12" i="4"/>
  <c r="B12" i="4"/>
  <c r="D11" i="4"/>
  <c r="B11" i="4"/>
  <c r="D10" i="4"/>
  <c r="B10" i="4"/>
  <c r="D9" i="4"/>
  <c r="B9" i="4"/>
  <c r="D8" i="4"/>
  <c r="B8" i="4"/>
  <c r="D7" i="4"/>
  <c r="B7" i="4"/>
  <c r="D6" i="4"/>
  <c r="B6" i="4"/>
  <c r="D5" i="4"/>
  <c r="B5" i="4"/>
  <c r="D4" i="4"/>
  <c r="B4" i="4"/>
  <c r="D3" i="4"/>
  <c r="B3" i="4"/>
  <c r="A3" i="4"/>
  <c r="B34" i="1"/>
  <c r="B33" i="1"/>
  <c r="B32" i="1"/>
  <c r="B31" i="1"/>
  <c r="B30" i="1"/>
  <c r="B29" i="1"/>
  <c r="B28" i="1"/>
  <c r="B27" i="1"/>
  <c r="B26" i="1"/>
  <c r="B25" i="1"/>
  <c r="K21" i="1"/>
  <c r="J21" i="1"/>
  <c r="I21" i="1"/>
  <c r="H21" i="1"/>
  <c r="G21" i="1"/>
  <c r="F21" i="1"/>
  <c r="E21" i="1"/>
  <c r="D21" i="1"/>
  <c r="C21" i="1"/>
  <c r="B21" i="1"/>
  <c r="K20" i="1"/>
  <c r="J20" i="1"/>
  <c r="I20" i="1"/>
  <c r="H20" i="1"/>
  <c r="G20" i="1"/>
  <c r="F20" i="1"/>
  <c r="E20" i="1"/>
  <c r="D20" i="1"/>
  <c r="C20" i="1"/>
  <c r="B20" i="1"/>
  <c r="K19" i="1"/>
  <c r="J19" i="1"/>
  <c r="I19" i="1"/>
  <c r="H19" i="1"/>
  <c r="G19" i="1"/>
  <c r="F19" i="1"/>
  <c r="E19" i="1"/>
  <c r="D19" i="1"/>
  <c r="C19" i="1"/>
  <c r="B19" i="1"/>
  <c r="K18" i="1"/>
  <c r="J18" i="1"/>
  <c r="I18" i="1"/>
  <c r="H18" i="1"/>
  <c r="G18" i="1"/>
  <c r="F18" i="1"/>
  <c r="E18" i="1"/>
  <c r="D18" i="1"/>
  <c r="C18" i="1"/>
  <c r="B18" i="1"/>
  <c r="K17" i="1"/>
  <c r="J17" i="1"/>
  <c r="I17" i="1"/>
  <c r="H17" i="1"/>
  <c r="G17" i="1"/>
  <c r="F17" i="1"/>
  <c r="E17" i="1"/>
  <c r="D17" i="1"/>
  <c r="C17" i="1"/>
  <c r="B17" i="1"/>
  <c r="K16" i="1"/>
  <c r="J16" i="1"/>
  <c r="I16" i="1"/>
  <c r="H16" i="1"/>
  <c r="G16" i="1"/>
  <c r="F16" i="1"/>
  <c r="E16" i="1"/>
  <c r="D16" i="1"/>
  <c r="C16" i="1"/>
  <c r="B16" i="1"/>
  <c r="K15" i="1"/>
  <c r="J15" i="1"/>
  <c r="I15" i="1"/>
  <c r="H15" i="1"/>
  <c r="G15" i="1"/>
  <c r="F15" i="1"/>
  <c r="E15" i="1"/>
  <c r="D15" i="1"/>
  <c r="C15" i="1"/>
  <c r="B15" i="1"/>
  <c r="K14" i="1"/>
  <c r="J14" i="1"/>
  <c r="I14" i="1"/>
  <c r="H14" i="1"/>
  <c r="G14" i="1"/>
  <c r="F14" i="1"/>
  <c r="E14" i="1"/>
  <c r="D14" i="1"/>
  <c r="C14" i="1"/>
  <c r="B14" i="1"/>
  <c r="K13" i="1"/>
  <c r="J13" i="1"/>
  <c r="I13" i="1"/>
  <c r="H13" i="1"/>
  <c r="G13" i="1"/>
  <c r="F13" i="1"/>
  <c r="E13" i="1"/>
  <c r="D13" i="1"/>
  <c r="C13" i="1"/>
  <c r="B13" i="1"/>
  <c r="K12" i="1"/>
  <c r="J12" i="1"/>
  <c r="I12" i="1"/>
  <c r="H12" i="1"/>
  <c r="G12" i="1"/>
  <c r="F12" i="1"/>
  <c r="E12" i="1"/>
  <c r="D12" i="1"/>
  <c r="C12" i="1"/>
  <c r="B12" i="1"/>
  <c r="K11" i="1"/>
  <c r="J11" i="1"/>
  <c r="I11" i="1"/>
  <c r="H11" i="1"/>
  <c r="G11" i="1"/>
  <c r="F11" i="1"/>
  <c r="E11" i="1"/>
  <c r="D11" i="1"/>
  <c r="C11" i="1"/>
  <c r="B11" i="1"/>
  <c r="K10" i="1"/>
  <c r="J10" i="1"/>
  <c r="I10" i="1"/>
  <c r="E6" i="1" s="1"/>
  <c r="H10" i="1"/>
  <c r="G10" i="1"/>
  <c r="F10" i="1"/>
  <c r="E10" i="1"/>
  <c r="D10" i="1"/>
  <c r="C6" i="1" s="1"/>
  <c r="C10" i="1"/>
  <c r="B10" i="1"/>
  <c r="I6" i="1"/>
  <c r="G6" i="1"/>
  <c r="A6" i="1"/>
</calcChain>
</file>

<file path=xl/sharedStrings.xml><?xml version="1.0" encoding="utf-8"?>
<sst xmlns="http://schemas.openxmlformats.org/spreadsheetml/2006/main" count="394" uniqueCount="109">
  <si>
    <t>Daily Wellness Tracker — Dashboard</t>
  </si>
  <si>
    <t>How to use</t>
  </si>
  <si>
    <t>1. Fill in one row per day on the tab for the current month.</t>
  </si>
  <si>
    <t>Select Month:</t>
  </si>
  <si>
    <t>January</t>
  </si>
  <si>
    <t>2. Weight, steps, heart rate, calories, water, sleep, screen time are all numeric — leave blank if not tracked that day.</t>
  </si>
  <si>
    <t>3. Mood, Exercise, Sleep Quality, Stress Level are dropdowns — click the cell to pick from the list.</t>
  </si>
  <si>
    <t>Avg Weight - Morning (kg)</t>
  </si>
  <si>
    <t>Avg Steps</t>
  </si>
  <si>
    <t>Avg Sleep (hrs)</t>
  </si>
  <si>
    <t>Avg Water (L)</t>
  </si>
  <si>
    <t>Days Logged</t>
  </si>
  <si>
    <t>4. BMI is calculated automatically from your Height in the Settings tab.</t>
  </si>
  <si>
    <t>5. January row 3 (yellow) is a filled-in EXAMPLE — edit or delete it before logging your own data.</t>
  </si>
  <si>
    <t>6. Change your Height and daily goals any time in Settings — every formula and data bar updates automatically.</t>
  </si>
  <si>
    <t>7. Pick a month below to see that month's KPIs update instantly.</t>
  </si>
  <si>
    <t>Month</t>
  </si>
  <si>
    <t>Avg Weight - Evening (kg)</t>
  </si>
  <si>
    <t>Avg Resting HR (bpm)</t>
  </si>
  <si>
    <t>Avg Calories In</t>
  </si>
  <si>
    <t>Avg Calories Burned</t>
  </si>
  <si>
    <t>Avg Screen Time (hrs)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</si>
  <si>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</si>
  <si>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</si>
  <si>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</si>
  <si>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</si>
  <si>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</si>
  <si>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</si>
  <si>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</si>
  <si>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</si>
  <si>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</si>
  <si>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</si>
  <si>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</si>
  <si>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Mood</t>
  </si>
  <si>
    <t>Count (all months)</t>
  </si>
  <si>
    <t>Happy</t>
  </si>
  <si>
    <t>Calm</t>
  </si>
  <si>
    <t>Energetic</t>
  </si>
  <si>
    <t>Tired</t>
  </si>
  <si>
    <t>Low</t>
  </si>
  <si>
    <t>Irritable</t>
  </si>
  <si>
    <t>Anxious</t>
  </si>
  <si>
    <t>Sad</t>
  </si>
  <si>
    <t>Headache</t>
  </si>
  <si>
    <t>Other</t>
  </si>
  <si>
    <t>Exercise (Y/N)</t>
  </si>
  <si>
    <t>Sleep Quality</t>
  </si>
  <si>
    <t>Stress Level</t>
  </si>
  <si>
    <t>Yes</t>
  </si>
  <si>
    <t>Poor</t>
  </si>
  <si>
    <t>No</t>
  </si>
  <si>
    <t>Fair</t>
  </si>
  <si>
    <t>Medium</t>
  </si>
  <si>
    <t>Good</t>
  </si>
  <si>
    <t>High</t>
  </si>
  <si>
    <t>Very good</t>
  </si>
  <si>
    <t>Settings &amp; Goals</t>
  </si>
  <si>
    <t>Field</t>
  </si>
  <si>
    <t>Value</t>
  </si>
  <si>
    <t>Notes</t>
  </si>
  <si>
    <t>Height (cm)</t>
  </si>
  <si>
    <t>Used to auto-calculate BMI on every month sheet.</t>
  </si>
  <si>
    <t>Daily Step Goal</t>
  </si>
  <si>
    <t>Used for the Steps data bar and dashboard KPI.</t>
  </si>
  <si>
    <t>Daily Water Goal (L)</t>
  </si>
  <si>
    <t>Used for the Water data bar.</t>
  </si>
  <si>
    <t>Target Sleep (hrs)</t>
  </si>
  <si>
    <t>Used for the Sleep data bar.</t>
  </si>
  <si>
    <t>Screen Time Goal (hrs)</t>
  </si>
  <si>
    <t>Reference only — not enforced by a formula.</t>
  </si>
  <si>
    <t>Blue values are editable inputs — change them any time.</t>
  </si>
  <si>
    <t>January — Daily Tracker</t>
  </si>
  <si>
    <t>Date</t>
  </si>
  <si>
    <t>Day</t>
  </si>
  <si>
    <t>Weight - Morning (kg)</t>
  </si>
  <si>
    <t>BMI (Morning)</t>
  </si>
  <si>
    <t>Weight - Evening (kg)</t>
  </si>
  <si>
    <t>Steps</t>
  </si>
  <si>
    <t>Resting Heart Rate (bpm)</t>
  </si>
  <si>
    <t>Calories Intake (kcal)</t>
  </si>
  <si>
    <t>Calories Burned (kcal)</t>
  </si>
  <si>
    <t>Water (L)</t>
  </si>
  <si>
    <t>Sleep (hrs)</t>
  </si>
  <si>
    <t>Screen Time (hrs)</t>
  </si>
  <si>
    <t>Exercise Type / Duration (min)</t>
  </si>
  <si>
    <t>Energy Level (1-10)</t>
  </si>
  <si>
    <t>Breakfast</t>
  </si>
  <si>
    <t>Lunch</t>
  </si>
  <si>
    <t>Dinner</t>
  </si>
  <si>
    <t>Symptoms / Notes</t>
  </si>
  <si>
    <t>Walk, 30 min</t>
  </si>
  <si>
    <t>Poha, 1 cup chai</t>
  </si>
  <si>
    <t>Dal, rice, curd, salad</t>
  </si>
  <si>
    <t>Roti, sabzi, 1 apple</t>
  </si>
  <si>
    <t>Mild bloating in the evening</t>
  </si>
  <si>
    <t>February — Daily Tracker</t>
  </si>
  <si>
    <t>March — Daily Tracker</t>
  </si>
  <si>
    <t>April — Daily Tracker</t>
  </si>
  <si>
    <t>May — Daily Tracker</t>
  </si>
  <si>
    <t>June — Daily Tracker</t>
  </si>
  <si>
    <t>July — Daily Tracker</t>
  </si>
  <si>
    <t>August — Daily Tracker</t>
  </si>
  <si>
    <t>September — Daily Tracker</t>
  </si>
  <si>
    <t>October — Daily Tracker</t>
  </si>
  <si>
    <t>November — Daily Tracker</t>
  </si>
  <si>
    <t>December — Daily Tracker</t>
  </si>
  <si>
    <t>Marathi-paratha</t>
  </si>
  <si>
    <t>thali</t>
  </si>
  <si>
    <t>thali-Mix 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</si>
</sst>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m\-yyyy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  <font>
      <sz val="10"/>
      <color rgb="FF374151"/>
      <name val="Calibri"/>
      <charset val="1"/>
    </font>
    <font>
      <b/>
      <sz val="11"/>
      <color rgb="FF374151"/>
      <name val="Calibri"/>
      <charset val="1"/>
    </font>
    <font>
      <b/>
      <sz val="11"/>
      <color rgb="FF1D4ED8"/>
      <name val="Calibri"/>
      <charset val="1"/>
    </font>
    <font>
      <b/>
      <sz val="9"/>
      <color rgb="FF374151"/>
      <name val="Calibri"/>
      <charset val="1"/>
    </font>
    <font>
      <b/>
      <sz val="16"/>
      <color rgb="FF7C3AED"/>
      <name val="Calibri"/>
      <charset val="1"/>
    </font>
    <font>
      <sz val="11"/>
      <name val="Calibri"/>
      <charset val="1"/>
    </font>
    <font>
      <b/>
      <sz val="14"/>
      <color rgb="FFFFFFFF"/>
      <name val="Calibri"/>
      <charset val="1"/>
    </font>
    <font>
      <i/>
      <sz val="10"/>
      <color rgb="FF374151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7C3AED"/>
        <bgColor rgb="FF725990"/>
      </patternFill>
    </fill>
    <fill>
      <patternFill patternType="solid">
        <fgColor rgb="FFFAFAFA"/>
        <bgColor rgb="FFF7F5FF"/>
      </patternFill>
    </fill>
    <fill>
      <patternFill patternType="solid">
        <fgColor rgb="FFEDE9FE"/>
        <bgColor rgb="FFF5F3FF"/>
      </patternFill>
    </fill>
    <fill>
      <patternFill patternType="solid">
        <fgColor rgb="FFF5F3FF"/>
        <bgColor rgb="FFF7F5FF"/>
      </patternFill>
    </fill>
    <fill>
      <patternFill patternType="solid">
        <fgColor rgb="FFF7F5FF"/>
        <bgColor rgb="FFF5F3FF"/>
      </patternFill>
    </fill>
    <fill>
      <patternFill patternType="solid">
        <fgColor rgb="FF6B7280"/>
        <bgColor rgb="FF725990"/>
      </patternFill>
    </fill>
    <fill>
      <patternFill patternType="solid">
        <fgColor rgb="FFFFF9DB"/>
        <bgColor rgb="FF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9" fillId="2" borderId="0" xfId="0" applyFont="1" applyFill="1" applyBorder="1"/>
    <xf numFmtId="0" fontId="7" fillId="4" borderId="0" xfId="0" applyFont="1" applyFill="1" applyBorder="1" applyAlignment="1">
      <alignment horizontal="center" vertical="top"/>
    </xf>
    <xf numFmtId="164" fontId="7" fillId="4" borderId="0" xfId="0" applyNumberFormat="1" applyFont="1" applyFill="1" applyBorder="1" applyAlignment="1">
      <alignment horizontal="center" vertical="top"/>
    </xf>
    <xf numFmtId="0" fontId="6" fillId="5" borderId="0" xfId="0" applyFont="1" applyFill="1" applyBorder="1" applyAlignment="1">
      <alignment horizontal="center" vertical="top" wrapText="1"/>
    </xf>
    <xf numFmtId="0" fontId="1" fillId="2" borderId="0" xfId="0" applyFont="1" applyFill="1" applyBorder="1"/>
    <xf numFmtId="0" fontId="2" fillId="2" borderId="0" xfId="0" applyFont="1" applyFill="1"/>
    <xf numFmtId="0" fontId="3" fillId="3" borderId="0" xfId="0" applyFont="1" applyFill="1" applyAlignment="1">
      <alignment vertical="top" wrapText="1"/>
    </xf>
    <xf numFmtId="0" fontId="4" fillId="0" borderId="0" xfId="0" applyFont="1"/>
    <xf numFmtId="0" fontId="5" fillId="4" borderId="0" xfId="0" applyFont="1" applyFill="1" applyAlignment="1">
      <alignment horizontal="center" vertical="top"/>
    </xf>
    <xf numFmtId="0" fontId="4" fillId="5" borderId="0" xfId="0" applyFont="1" applyFill="1"/>
    <xf numFmtId="0" fontId="6" fillId="5" borderId="0" xfId="0" applyFont="1" applyFill="1" applyAlignment="1">
      <alignment vertical="top" wrapText="1"/>
    </xf>
    <xf numFmtId="0" fontId="8" fillId="6" borderId="0" xfId="0" applyFont="1" applyFill="1"/>
    <xf numFmtId="164" fontId="8" fillId="6" borderId="0" xfId="0" applyNumberFormat="1" applyFont="1" applyFill="1"/>
    <xf numFmtId="0" fontId="8" fillId="3" borderId="0" xfId="0" applyFont="1" applyFill="1"/>
    <xf numFmtId="164" fontId="8" fillId="3" borderId="0" xfId="0" applyNumberFormat="1" applyFont="1" applyFill="1"/>
    <xf numFmtId="0" fontId="2" fillId="7" borderId="0" xfId="0" applyFont="1" applyFill="1"/>
    <xf numFmtId="0" fontId="2" fillId="7" borderId="0" xfId="0" applyFont="1" applyFill="1" applyAlignment="1">
      <alignment vertical="top" wrapText="1"/>
    </xf>
    <xf numFmtId="0" fontId="8" fillId="0" borderId="0" xfId="0" applyFont="1"/>
    <xf numFmtId="0" fontId="5" fillId="3" borderId="0" xfId="0" applyFont="1" applyFill="1"/>
    <xf numFmtId="0" fontId="10" fillId="3" borderId="0" xfId="0" applyFont="1" applyFill="1" applyAlignment="1">
      <alignment vertical="top" wrapText="1"/>
    </xf>
    <xf numFmtId="0" fontId="5" fillId="6" borderId="0" xfId="0" applyFont="1" applyFill="1"/>
    <xf numFmtId="0" fontId="10" fillId="6" borderId="0" xfId="0" applyFont="1" applyFill="1" applyAlignment="1">
      <alignment vertical="top" wrapText="1"/>
    </xf>
    <xf numFmtId="0" fontId="10" fillId="0" borderId="0" xfId="0" applyFont="1"/>
    <xf numFmtId="0" fontId="11" fillId="2" borderId="0" xfId="0" applyFont="1" applyFill="1" applyAlignment="1">
      <alignment vertical="top" wrapText="1"/>
    </xf>
    <xf numFmtId="165" fontId="12" fillId="8" borderId="0" xfId="0" applyNumberFormat="1" applyFont="1" applyFill="1"/>
    <xf numFmtId="0" fontId="8" fillId="8" borderId="0" xfId="0" applyFont="1" applyFill="1"/>
    <xf numFmtId="0" fontId="12" fillId="8" borderId="0" xfId="0" applyFont="1" applyFill="1"/>
    <xf numFmtId="165" fontId="12" fillId="6" borderId="0" xfId="0" applyNumberFormat="1" applyFont="1" applyFill="1"/>
    <xf numFmtId="0" fontId="12" fillId="6" borderId="0" xfId="0" applyFont="1" applyFill="1"/>
    <xf numFmtId="165" fontId="12" fillId="3" borderId="0" xfId="0" applyNumberFormat="1" applyFont="1" applyFill="1"/>
    <xf numFmtId="0" fontId="1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672A8"/>
      <rgbColor rgb="FFB8CD97"/>
      <rgbColor rgb="FF878787"/>
      <rgbColor rgb="FF93A9CE"/>
      <rgbColor rgb="FFAB4744"/>
      <rgbColor rgb="FFFFF9DB"/>
      <rgbColor rgb="FFF5F3FF"/>
      <rgbColor rgb="FF660066"/>
      <rgbColor rgb="FFDC853E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DE9FE"/>
      <rgbColor rgb="FFFAFAFA"/>
      <rgbColor rgb="FFF7F5FF"/>
      <rgbColor rgb="FF99CCFF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6B7280"/>
      <rgbColor rgb="FFBE4B48"/>
      <rgbColor rgb="FF7C3AED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Weight by Month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Avg Weight - Morning (kg)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Dashboard!$B$10:$B$21</c:f>
              <c:numCache>
                <c:formatCode>0.0</c:formatCode>
                <c:ptCount val="12"/>
                <c:pt idx="0">
                  <c:v>62.4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63.9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6-43FA-9FD2-F70DF69B33AE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Avg Weight - Evening (kg)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Dashboard!$C$10:$C$21</c:f>
              <c:numCache>
                <c:formatCode>0.0</c:formatCode>
                <c:ptCount val="12"/>
                <c:pt idx="0">
                  <c:v>62.9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76-43FA-9FD2-F70DF69B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191052"/>
        <c:axId val="75297561"/>
      </c:lineChart>
      <c:catAx>
        <c:axId val="66191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97561"/>
        <c:crosses val="autoZero"/>
        <c:auto val="1"/>
        <c:lblAlgn val="ctr"/>
        <c:lblOffset val="100"/>
        <c:noMultiLvlLbl val="0"/>
      </c:catAx>
      <c:valAx>
        <c:axId val="75297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91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Steps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Avg Steps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Dashboard!$D$10:$D$21</c:f>
              <c:numCache>
                <c:formatCode>0.0</c:formatCode>
                <c:ptCount val="12"/>
                <c:pt idx="0">
                  <c:v>7400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5-411E-8F40-46111472F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05568"/>
        <c:axId val="47447365"/>
      </c:barChart>
      <c:catAx>
        <c:axId val="3880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47365"/>
        <c:crosses val="autoZero"/>
        <c:auto val="1"/>
        <c:lblAlgn val="ctr"/>
        <c:lblOffset val="100"/>
        <c:noMultiLvlLbl val="0"/>
      </c:catAx>
      <c:valAx>
        <c:axId val="47447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05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Sleep by Month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Dashboard!$I$9</c:f>
              <c:strCache>
                <c:ptCount val="1"/>
                <c:pt idx="0">
                  <c:v>Avg Sleep (hrs)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diamond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Dashboard!$I$10:$I$21</c:f>
              <c:numCache>
                <c:formatCode>0.0</c:formatCode>
                <c:ptCount val="12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3-4A11-9B19-BD4B7EB96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047213"/>
        <c:axId val="98876620"/>
      </c:lineChart>
      <c:catAx>
        <c:axId val="70472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76620"/>
        <c:crosses val="autoZero"/>
        <c:auto val="1"/>
        <c:lblAlgn val="ctr"/>
        <c:lblOffset val="100"/>
        <c:noMultiLvlLbl val="0"/>
      </c:catAx>
      <c:valAx>
        <c:axId val="98876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7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Water Intake by Month (L)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Dashboard!$H$9</c:f>
              <c:strCache>
                <c:ptCount val="1"/>
                <c:pt idx="0">
                  <c:v>Avg Water (L)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Dashboard!$H$10:$H$21</c:f>
              <c:numCache>
                <c:formatCode>0.0</c:formatCode>
                <c:ptCount val="12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BE3-B10F-3C12705FB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18350"/>
        <c:axId val="94901948"/>
      </c:barChart>
      <c:catAx>
        <c:axId val="28918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01948"/>
        <c:crosses val="autoZero"/>
        <c:auto val="1"/>
        <c:lblAlgn val="ctr"/>
        <c:lblOffset val="100"/>
        <c:noMultiLvlLbl val="0"/>
      </c:catAx>
      <c:valAx>
        <c:axId val="94901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litres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18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Mood Breakdown (all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Count (all months)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672-4FAA-9EE9-B221E4C42CF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672-4FAA-9EE9-B221E4C42CF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672-4FAA-9EE9-B221E4C42CF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672-4FAA-9EE9-B221E4C42CF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672-4FAA-9EE9-B221E4C42CF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672-4FAA-9EE9-B221E4C42CF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7672-4FAA-9EE9-B221E4C42CF7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7672-4FAA-9EE9-B221E4C42CF7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672-4FAA-9EE9-B221E4C42CF7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672-4FAA-9EE9-B221E4C42CF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672-4FAA-9EE9-B221E4C42CF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672-4FAA-9EE9-B221E4C42CF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672-4FAA-9EE9-B221E4C42CF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672-4FAA-9EE9-B221E4C42CF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672-4FAA-9EE9-B221E4C42CF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7672-4FAA-9EE9-B221E4C42CF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7672-4FAA-9EE9-B221E4C42CF7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7672-4FAA-9EE9-B221E4C42CF7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7672-4FAA-9EE9-B221E4C42CF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7672-4FAA-9EE9-B221E4C42C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Dashboard!$A$25:$A$34</c:f>
              <c:strCache>
                <c:ptCount val="10"/>
                <c:pt idx="0">
                  <c:v>Happy</c:v>
                </c:pt>
                <c:pt idx="1">
                  <c:v>Calm</c:v>
                </c:pt>
                <c:pt idx="2">
                  <c:v>Energetic</c:v>
                </c:pt>
                <c:pt idx="3">
                  <c:v>Tired</c:v>
                </c:pt>
                <c:pt idx="4">
                  <c:v>Low</c:v>
                </c:pt>
                <c:pt idx="5">
                  <c:v>Irritable</c:v>
                </c:pt>
                <c:pt idx="6">
                  <c:v>Anxious</c:v>
                </c:pt>
                <c:pt idx="7">
                  <c:v>Sad</c:v>
                </c:pt>
                <c:pt idx="8">
                  <c:v>Headache</c:v>
                </c:pt>
                <c:pt idx="9">
                  <c:v>Other</c:v>
                </c:pt>
              </c:strCache>
            </c:strRef>
          </c:cat>
          <c:val>
            <c:numRef>
              <c:f>Dashboard!$B$25:$B$34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672-4FAA-9EE9-B221E4C42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21240</xdr:rowOff>
    </xdr:from>
    <xdr:to>
      <xdr:col>6</xdr:col>
      <xdr:colOff>324720</xdr:colOff>
      <xdr:row>50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21240</xdr:rowOff>
    </xdr:from>
    <xdr:to>
      <xdr:col>10</xdr:col>
      <xdr:colOff>2227680</xdr:colOff>
      <xdr:row>50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52</xdr:row>
      <xdr:rowOff>20880</xdr:rowOff>
    </xdr:from>
    <xdr:to>
      <xdr:col>6</xdr:col>
      <xdr:colOff>324720</xdr:colOff>
      <xdr:row>67</xdr:row>
      <xdr:rowOff>42840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52</xdr:row>
      <xdr:rowOff>20880</xdr:rowOff>
    </xdr:from>
    <xdr:to>
      <xdr:col>10</xdr:col>
      <xdr:colOff>2227680</xdr:colOff>
      <xdr:row>67</xdr:row>
      <xdr:rowOff>42840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69</xdr:row>
      <xdr:rowOff>20880</xdr:rowOff>
    </xdr:from>
    <xdr:to>
      <xdr:col>6</xdr:col>
      <xdr:colOff>324720</xdr:colOff>
      <xdr:row>91</xdr:row>
      <xdr:rowOff>149400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zoomScaleNormal="100" workbookViewId="0">
      <pane ySplit="9" topLeftCell="A10" activePane="bottomLeft" state="frozen"/>
      <selection pane="bottomLeft" sqref="A1:J1"/>
    </sheetView>
  </sheetViews>
  <sheetFormatPr defaultColWidth="8.6640625" defaultRowHeight="14.4" x14ac:dyDescent="0.3"/>
  <cols>
    <col min="1" max="1" width="12" customWidth="1"/>
    <col min="2" max="3" width="15" customWidth="1"/>
    <col min="4" max="8" width="10" customWidth="1"/>
    <col min="9" max="9" width="12" customWidth="1"/>
    <col min="10" max="10" width="3" customWidth="1"/>
    <col min="11" max="11" width="32" customWidth="1"/>
  </cols>
  <sheetData>
    <row r="1" spans="1:11" ht="25.5" customHeight="1" x14ac:dyDescent="0.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6" t="s">
        <v>1</v>
      </c>
    </row>
    <row r="2" spans="1:11" ht="30" customHeight="1" x14ac:dyDescent="0.3">
      <c r="K2" s="7" t="s">
        <v>2</v>
      </c>
    </row>
    <row r="3" spans="1:11" ht="30" customHeight="1" x14ac:dyDescent="0.3">
      <c r="A3" s="8" t="s">
        <v>3</v>
      </c>
      <c r="B3" s="9" t="s">
        <v>4</v>
      </c>
      <c r="K3" s="7" t="s">
        <v>5</v>
      </c>
    </row>
    <row r="4" spans="1:11" ht="30" customHeight="1" x14ac:dyDescent="0.3">
      <c r="K4" s="7" t="s">
        <v>6</v>
      </c>
    </row>
    <row r="5" spans="1:11" ht="27.75" customHeight="1" x14ac:dyDescent="0.3">
      <c r="A5" s="4" t="s">
        <v>7</v>
      </c>
      <c r="B5" s="4"/>
      <c r="C5" s="4" t="s">
        <v>8</v>
      </c>
      <c r="D5" s="4"/>
      <c r="E5" s="4" t="s">
        <v>9</v>
      </c>
      <c r="F5" s="4"/>
      <c r="G5" s="4" t="s">
        <v>10</v>
      </c>
      <c r="H5" s="4"/>
      <c r="I5" s="4" t="s">
        <v>11</v>
      </c>
      <c r="J5" s="4"/>
      <c r="K5" s="7" t="s">
        <v>12</v>
      </c>
    </row>
    <row r="6" spans="1:11" ht="25.5" customHeight="1" x14ac:dyDescent="0.3">
      <c r="A6" s="3">
        <f>IFERROR(INDEX(B10:B21,MATCH($B$3,$A10:$A21,0)),"")</f>
        <v>62.4</v>
      </c>
      <c r="B6" s="3"/>
      <c r="C6" s="3">
        <f>IFERROR(INDEX(D10:D21,MATCH($B$3,$A10:$A21,0)),"")</f>
        <v>7400</v>
      </c>
      <c r="D6" s="3"/>
      <c r="E6" s="3">
        <f>IFERROR(INDEX(I10:I21,MATCH($B$3,$A10:$A21,0)),"")</f>
        <v>7</v>
      </c>
      <c r="F6" s="3"/>
      <c r="G6" s="3">
        <f>IFERROR(INDEX(H10:H21,MATCH($B$3,$A10:$A21,0)),"")</f>
        <v>2.5</v>
      </c>
      <c r="H6" s="3"/>
      <c r="I6" s="2">
        <f>IFERROR(INDEX(K10:K21,MATCH($B$3,$A10:$A21,0)),"")</f>
        <v>1</v>
      </c>
      <c r="J6" s="2"/>
      <c r="K6" s="7" t="s">
        <v>13</v>
      </c>
    </row>
    <row r="7" spans="1:11" ht="30" customHeight="1" x14ac:dyDescent="0.3">
      <c r="K7" s="7" t="s">
        <v>14</v>
      </c>
    </row>
    <row r="8" spans="1:11" ht="30" customHeight="1" x14ac:dyDescent="0.3">
      <c r="K8" s="7" t="s">
        <v>15</v>
      </c>
    </row>
    <row r="9" spans="1:11" ht="31.5" customHeight="1" x14ac:dyDescent="0.3">
      <c r="A9" s="10" t="s">
        <v>16</v>
      </c>
      <c r="B9" s="11" t="s">
        <v>7</v>
      </c>
      <c r="C9" s="11" t="s">
        <v>17</v>
      </c>
      <c r="D9" s="11" t="s">
        <v>8</v>
      </c>
      <c r="E9" s="11" t="s">
        <v>18</v>
      </c>
      <c r="F9" s="11" t="s">
        <v>19</v>
      </c>
      <c r="G9" s="11" t="s">
        <v>20</v>
      </c>
      <c r="H9" s="11" t="s">
        <v>10</v>
      </c>
      <c r="I9" s="11" t="s">
        <v>9</v>
      </c>
      <c r="J9" s="11" t="s">
        <v>21</v>
      </c>
      <c r="K9" s="11" t="s">
        <v>11</v>
      </c>
    </row>
    <row r="10" spans="1:11" x14ac:dyDescent="0.3">
      <c r="A10" s="12" t="s">
        <v>4</v>
      </c>
      <c r="B10" s="13">
        <f>IFERROR(ROUND(AVERAGEIF(January!C3:C33,"&lt;&gt;"),1),"")</f>
        <v>62.4</v>
      </c>
      <c r="C10" s="13">
        <f>IFERROR(ROUND(AVERAGEIF(January!E3:E33,"&lt;&gt;"),1),"")</f>
        <v>62.9</v>
      </c>
      <c r="D10" s="13">
        <f>IFERROR(ROUND(AVERAGEIF(January!F3:F33,"&lt;&gt;"),1),"")</f>
        <v>7400</v>
      </c>
      <c r="E10" s="13">
        <f>IFERROR(ROUND(AVERAGEIF(January!G3:G33,"&lt;&gt;"),1),"")</f>
        <v>72</v>
      </c>
      <c r="F10" s="13">
        <f>IFERROR(ROUND(AVERAGEIF(January!H3:H33,"&lt;&gt;"),1),"")</f>
        <v>1850</v>
      </c>
      <c r="G10" s="13">
        <f>IFERROR(ROUND(AVERAGEIF(January!I3:I33,"&lt;&gt;"),1),"")</f>
        <v>2100</v>
      </c>
      <c r="H10" s="13">
        <f>IFERROR(ROUND(AVERAGEIF(January!J3:J33,"&lt;&gt;"),1),"")</f>
        <v>2.5</v>
      </c>
      <c r="I10" s="13">
        <f>IFERROR(ROUND(AVERAGEIF(January!K3:K33,"&lt;&gt;"),1),"")</f>
        <v>7</v>
      </c>
      <c r="J10" s="13">
        <f>IFERROR(ROUND(AVERAGEIF(January!M3:M33,"&lt;&gt;"),1),"")</f>
        <v>5.5</v>
      </c>
      <c r="K10" s="12">
        <f>COUNT(January!A3:A33)</f>
        <v>1</v>
      </c>
    </row>
    <row r="11" spans="1:11" x14ac:dyDescent="0.3">
      <c r="A11" s="14" t="s">
        <v>22</v>
      </c>
      <c r="B11" s="15" t="str">
        <f>IFERROR(ROUND(AVERAGEIF(February!C3:C33,"&lt;&gt;"),1),"")</f>
        <v/>
      </c>
      <c r="C11" s="15" t="str">
        <f>IFERROR(ROUND(AVERAGEIF(February!E3:E33,"&lt;&gt;"),1),"")</f>
        <v/>
      </c>
      <c r="D11" s="15" t="str">
        <f>IFERROR(ROUND(AVERAGEIF(February!F3:F33,"&lt;&gt;"),1),"")</f>
        <v/>
      </c>
      <c r="E11" s="15" t="str">
        <f>IFERROR(ROUND(AVERAGEIF(February!G3:G33,"&lt;&gt;"),1),"")</f>
        <v/>
      </c>
      <c r="F11" s="15" t="str">
        <f>IFERROR(ROUND(AVERAGEIF(February!H3:H33,"&lt;&gt;"),1),"")</f>
        <v/>
      </c>
      <c r="G11" s="15" t="str">
        <f>IFERROR(ROUND(AVERAGEIF(February!I3:I33,"&lt;&gt;"),1),"")</f>
        <v/>
      </c>
      <c r="H11" s="15" t="str">
        <f>IFERROR(ROUND(AVERAGEIF(February!J3:J33,"&lt;&gt;"),1),"")</f>
        <v/>
      </c>
      <c r="I11" s="15" t="str">
        <f>IFERROR(ROUND(AVERAGEIF(February!K3:K33,"&lt;&gt;"),1),"")</f>
        <v/>
      </c>
      <c r="J11" s="15" t="str">
        <f>IFERROR(ROUND(AVERAGEIF(February!M3:M33,"&lt;&gt;"),1),"")</f>
        <v/>
      </c>
      <c r="K11" s="14">
        <f>COUNT(February!A3:A33)</f>
        <v>0</v>
      </c>
    </row>
    <row r="12" spans="1:11" x14ac:dyDescent="0.3">
      <c r="A12" s="12" t="s">
        <v>23</v>
      </c>
      <c r="B12" s="13" t="str">
        <f>IFERROR(ROUND(AVERAGEIF(March!C3:C33,"&lt;&gt;"),1),"")</f>
        <v/>
      </c>
      <c r="C12" s="13" t="str">
        <f>IFERROR(ROUND(AVERAGEIF(March!E3:E33,"&lt;&gt;"),1),"")</f>
        <v/>
      </c>
      <c r="D12" s="13" t="str">
        <f>IFERROR(ROUND(AVERAGEIF(March!F3:F33,"&lt;&gt;"),1),"")</f>
        <v/>
      </c>
      <c r="E12" s="13" t="str">
        <f>IFERROR(ROUND(AVERAGEIF(March!G3:G33,"&lt;&gt;"),1),"")</f>
        <v/>
      </c>
      <c r="F12" s="13" t="str">
        <f>IFERROR(ROUND(AVERAGEIF(March!H3:H33,"&lt;&gt;"),1),"")</f>
        <v/>
      </c>
      <c r="G12" s="13" t="str">
        <f>IFERROR(ROUND(AVERAGEIF(March!I3:I33,"&lt;&gt;"),1),"")</f>
        <v/>
      </c>
      <c r="H12" s="13" t="str">
        <f>IFERROR(ROUND(AVERAGEIF(March!J3:J33,"&lt;&gt;"),1),"")</f>
        <v/>
      </c>
      <c r="I12" s="13" t="str">
        <f>IFERROR(ROUND(AVERAGEIF(March!K3:K33,"&lt;&gt;"),1),"")</f>
        <v/>
      </c>
      <c r="J12" s="13" t="str">
        <f>IFERROR(ROUND(AVERAGEIF(March!M3:M33,"&lt;&gt;"),1),"")</f>
        <v/>
      </c>
      <c r="K12" s="12">
        <f>COUNT(March!A3:A33)</f>
        <v>0</v>
      </c>
    </row>
    <row r="13" spans="1:11" x14ac:dyDescent="0.3">
      <c r="A13" s="14" t="s">
        <v>24</v>
      </c>
      <c r="B13" s="15" t="str">
        <f>IFERROR(ROUND(AVERAGEIF(April!C3:C33,"&lt;&gt;"),1),"")</f>
        <v/>
      </c>
      <c r="C13" s="15" t="str">
        <f>IFERROR(ROUND(AVERAGEIF(April!E3:E33,"&lt;&gt;"),1),"")</f>
        <v/>
      </c>
      <c r="D13" s="15" t="str">
        <f>IFERROR(ROUND(AVERAGEIF(April!F3:F33,"&lt;&gt;"),1),"")</f>
        <v/>
      </c>
      <c r="E13" s="15" t="str">
        <f>IFERROR(ROUND(AVERAGEIF(April!G3:G33,"&lt;&gt;"),1),"")</f>
        <v/>
      </c>
      <c r="F13" s="15" t="str">
        <f>IFERROR(ROUND(AVERAGEIF(April!H3:H33,"&lt;&gt;"),1),"")</f>
        <v/>
      </c>
      <c r="G13" s="15" t="str">
        <f>IFERROR(ROUND(AVERAGEIF(April!I3:I33,"&lt;&gt;"),1),"")</f>
        <v/>
      </c>
      <c r="H13" s="15" t="str">
        <f>IFERROR(ROUND(AVERAGEIF(April!J3:J33,"&lt;&gt;"),1),"")</f>
        <v/>
      </c>
      <c r="I13" s="15" t="str">
        <f>IFERROR(ROUND(AVERAGEIF(April!K3:K33,"&lt;&gt;"),1),"")</f>
        <v/>
      </c>
      <c r="J13" s="15" t="str">
        <f>IFERROR(ROUND(AVERAGEIF(April!M3:M33,"&lt;&gt;"),1),"")</f>
        <v/>
      </c>
      <c r="K13" s="14">
        <f>COUNT(April!A3:A33)</f>
        <v>0</v>
      </c>
    </row>
    <row r="14" spans="1:11" x14ac:dyDescent="0.3">
      <c r="A14" s="12" t="s">
        <v>25</v>
      </c>
      <c r="B14" s="13" t="str">
        <f>IFERROR(ROUND(AVERAGEIF(May!C3:C33,"&lt;&gt;"),1),"")</f>
        <v/>
      </c>
      <c r="C14" s="13" t="str">
        <f>IFERROR(ROUND(AVERAGEIF(May!E3:E33,"&lt;&gt;"),1),"")</f>
        <v/>
      </c>
      <c r="D14" s="13" t="str">
        <f>IFERROR(ROUND(AVERAGEIF(May!F3:F33,"&lt;&gt;"),1),"")</f>
        <v/>
      </c>
      <c r="E14" s="13" t="str">
        <f>IFERROR(ROUND(AVERAGEIF(May!G3:G33,"&lt;&gt;"),1),"")</f>
        <v/>
      </c>
      <c r="F14" s="13" t="str">
        <f>IFERROR(ROUND(AVERAGEIF(May!H3:H33,"&lt;&gt;"),1),"")</f>
        <v/>
      </c>
      <c r="G14" s="13" t="str">
        <f>IFERROR(ROUND(AVERAGEIF(May!I3:I33,"&lt;&gt;"),1),"")</f>
        <v/>
      </c>
      <c r="H14" s="13" t="str">
        <f>IFERROR(ROUND(AVERAGEIF(May!J3:J33,"&lt;&gt;"),1),"")</f>
        <v/>
      </c>
      <c r="I14" s="13" t="str">
        <f>IFERROR(ROUND(AVERAGEIF(May!K3:K33,"&lt;&gt;"),1),"")</f>
        <v/>
      </c>
      <c r="J14" s="13" t="str">
        <f>IFERROR(ROUND(AVERAGEIF(May!M3:M33,"&lt;&gt;"),1),"")</f>
        <v/>
      </c>
      <c r="K14" s="12">
        <f>COUNT(May!A3:A33)</f>
        <v>0</v>
      </c>
    </row>
    <row r="15" spans="1:11" x14ac:dyDescent="0.3">
      <c r="A15" s="14" t="s">
        <v>26</v>
      </c>
      <c r="B15" s="15" t="str">
        <f>IFERROR(ROUND(AVERAGEIF(June!C3:C33,"&lt;&gt;"),1),"")</f>
        <v/>
      </c>
      <c r="C15" s="15" t="str">
        <f>IFERROR(ROUND(AVERAGEIF(June!E3:E33,"&lt;&gt;"),1),"")</f>
        <v/>
      </c>
      <c r="D15" s="15" t="str">
        <f>IFERROR(ROUND(AVERAGEIF(June!F3:F33,"&lt;&gt;"),1),"")</f>
        <v/>
      </c>
      <c r="E15" s="15" t="str">
        <f>IFERROR(ROUND(AVERAGEIF(June!G3:G33,"&lt;&gt;"),1),"")</f>
        <v/>
      </c>
      <c r="F15" s="15" t="str">
        <f>IFERROR(ROUND(AVERAGEIF(June!H3:H33,"&lt;&gt;"),1),"")</f>
        <v/>
      </c>
      <c r="G15" s="15" t="str">
        <f>IFERROR(ROUND(AVERAGEIF(June!I3:I33,"&lt;&gt;"),1),"")</f>
        <v/>
      </c>
      <c r="H15" s="15" t="str">
        <f>IFERROR(ROUND(AVERAGEIF(June!J3:J33,"&lt;&gt;"),1),"")</f>
        <v/>
      </c>
      <c r="I15" s="15" t="str">
        <f>IFERROR(ROUND(AVERAGEIF(June!K3:K33,"&lt;&gt;"),1),"")</f>
        <v/>
      </c>
      <c r="J15" s="15" t="str">
        <f>IFERROR(ROUND(AVERAGEIF(June!M3:M33,"&lt;&gt;"),1),"")</f>
        <v/>
      </c>
      <c r="K15" s="14">
        <f>COUNT(June!A3:A33)</f>
        <v>0</v>
      </c>
    </row>
    <row r="16" spans="1:11" x14ac:dyDescent="0.3">
      <c r="A16" s="12" t="s">
        <v>27</v>
      </c>
      <c r="B16" s="13" t="str">
        <f>IFERROR(ROUND(AVERAGEIF(July!C3:C33,"&lt;&gt;"),1),"")</f>
        <v/>
      </c>
      <c r="C16" s="13" t="str">
        <f>IFERROR(ROUND(AVERAGEIF(July!E3:E33,"&lt;&gt;"),1),"")</f>
        <v/>
      </c>
      <c r="D16" s="13" t="str">
        <f>IFERROR(ROUND(AVERAGEIF(July!F3:F33,"&lt;&gt;"),1),"")</f>
        <v/>
      </c>
      <c r="E16" s="13" t="str">
        <f>IFERROR(ROUND(AVERAGEIF(July!G3:G33,"&lt;&gt;"),1),"")</f>
        <v/>
      </c>
      <c r="F16" s="13" t="str">
        <f>IFERROR(ROUND(AVERAGEIF(July!H3:H33,"&lt;&gt;"),1),"")</f>
        <v/>
      </c>
      <c r="G16" s="13" t="str">
        <f>IFERROR(ROUND(AVERAGEIF(July!I3:I33,"&lt;&gt;"),1),"")</f>
        <v/>
      </c>
      <c r="H16" s="13" t="str">
        <f>IFERROR(ROUND(AVERAGEIF(July!J3:J33,"&lt;&gt;"),1),"")</f>
        <v/>
      </c>
      <c r="I16" s="13" t="str">
        <f>IFERROR(ROUND(AVERAGEIF(July!K3:K33,"&lt;&gt;"),1),"")</f>
        <v/>
      </c>
      <c r="J16" s="13" t="str">
        <f>IFERROR(ROUND(AVERAGEIF(July!M3:M33,"&lt;&gt;"),1),"")</f>
        <v/>
      </c>
      <c r="K16" s="12">
        <f>COUNT(July!A3:A33)</f>
        <v>0</v>
      </c>
    </row>
    <row r="17" spans="1:11" x14ac:dyDescent="0.3">
      <c r="A17" s="14" t="s">
        <v>28</v>
      </c>
      <c r="B17" s="15">
        <f>IFERROR(ROUND(AVERAGEIF(August!C3:C33,"&lt;&gt;"),1),"")</f>
        <v>63.9</v>
      </c>
      <c r="C17" s="15" t="str">
        <f>IFERROR(ROUND(AVERAGEIF(August!E3:E33,"&lt;&gt;"),1),"")</f>
        <v/>
      </c>
      <c r="D17" s="15">
        <f>IFERROR(ROUND(AVERAGEIF(August!F3:F33,"&lt;&gt;"),1),"")</f>
        <v>2000</v>
      </c>
      <c r="E17" s="15" t="str">
        <f>IFERROR(ROUND(AVERAGEIF(August!G3:G33,"&lt;&gt;"),1),"")</f>
        <v/>
      </c>
      <c r="F17" s="15" t="str">
        <f>IFERROR(ROUND(AVERAGEIF(August!H3:H33,"&lt;&gt;"),1),"")</f>
        <v/>
      </c>
      <c r="G17" s="15" t="str">
        <f>IFERROR(ROUND(AVERAGEIF(August!I3:I33,"&lt;&gt;"),1),"")</f>
        <v/>
      </c>
      <c r="H17" s="15">
        <f>IFERROR(ROUND(AVERAGEIF(August!J3:J33,"&lt;&gt;"),1),"")</f>
        <v>3.5</v>
      </c>
      <c r="I17" s="15">
        <f>IFERROR(ROUND(AVERAGEIF(August!K3:K33,"&lt;&gt;"),1),"")</f>
        <v>6</v>
      </c>
      <c r="J17" s="15">
        <f>IFERROR(ROUND(AVERAGEIF(August!M3:M33,"&lt;&gt;"),1),"")</f>
        <v>8</v>
      </c>
      <c r="K17" s="14">
        <f>COUNT(August!A3:A33)</f>
        <v>31</v>
      </c>
    </row>
    <row r="18" spans="1:11" x14ac:dyDescent="0.3">
      <c r="A18" s="12" t="s">
        <v>29</v>
      </c>
      <c r="B18" s="13" t="str">
        <f>IFERROR(ROUND(AVERAGEIF(September!C3:C33,"&lt;&gt;"),1),"")</f>
        <v/>
      </c>
      <c r="C18" s="13" t="str">
        <f>IFERROR(ROUND(AVERAGEIF(September!E3:E33,"&lt;&gt;"),1),"")</f>
        <v/>
      </c>
      <c r="D18" s="13" t="str">
        <f>IFERROR(ROUND(AVERAGEIF(September!F3:F33,"&lt;&gt;"),1),"")</f>
        <v/>
      </c>
      <c r="E18" s="13" t="str">
        <f>IFERROR(ROUND(AVERAGEIF(September!G3:G33,"&lt;&gt;"),1),"")</f>
        <v/>
      </c>
      <c r="F18" s="13" t="str">
        <f>IFERROR(ROUND(AVERAGEIF(September!H3:H33,"&lt;&gt;"),1),"")</f>
        <v/>
      </c>
      <c r="G18" s="13" t="str">
        <f>IFERROR(ROUND(AVERAGEIF(September!I3:I33,"&lt;&gt;"),1),"")</f>
        <v/>
      </c>
      <c r="H18" s="13" t="str">
        <f>IFERROR(ROUND(AVERAGEIF(September!J3:J33,"&lt;&gt;"),1),"")</f>
        <v/>
      </c>
      <c r="I18" s="13" t="str">
        <f>IFERROR(ROUND(AVERAGEIF(September!K3:K33,"&lt;&gt;"),1),"")</f>
        <v/>
      </c>
      <c r="J18" s="13" t="str">
        <f>IFERROR(ROUND(AVERAGEIF(September!M3:M33,"&lt;&gt;"),1),"")</f>
        <v/>
      </c>
      <c r="K18" s="12">
        <f>COUNT(September!A3:A33)</f>
        <v>0</v>
      </c>
    </row>
    <row r="19" spans="1:11" x14ac:dyDescent="0.3">
      <c r="A19" s="14" t="s">
        <v>30</v>
      </c>
      <c r="B19" s="15" t="str">
        <f>IFERROR(ROUND(AVERAGEIF(October!C3:C33,"&lt;&gt;"),1),"")</f>
        <v/>
      </c>
      <c r="C19" s="15" t="str">
        <f>IFERROR(ROUND(AVERAGEIF(October!E3:E33,"&lt;&gt;"),1),"")</f>
        <v/>
      </c>
      <c r="D19" s="15" t="str">
        <f>IFERROR(ROUND(AVERAGEIF(October!F3:F33,"&lt;&gt;"),1),"")</f>
        <v/>
      </c>
      <c r="E19" s="15" t="str">
        <f>IFERROR(ROUND(AVERAGEIF(October!G3:G33,"&lt;&gt;"),1),"")</f>
        <v/>
      </c>
      <c r="F19" s="15" t="str">
        <f>IFERROR(ROUND(AVERAGEIF(October!H3:H33,"&lt;&gt;"),1),"")</f>
        <v/>
      </c>
      <c r="G19" s="15" t="str">
        <f>IFERROR(ROUND(AVERAGEIF(October!I3:I33,"&lt;&gt;"),1),"")</f>
        <v/>
      </c>
      <c r="H19" s="15" t="str">
        <f>IFERROR(ROUND(AVERAGEIF(October!J3:J33,"&lt;&gt;"),1),"")</f>
        <v/>
      </c>
      <c r="I19" s="15" t="str">
        <f>IFERROR(ROUND(AVERAGEIF(October!K3:K33,"&lt;&gt;"),1),"")</f>
        <v/>
      </c>
      <c r="J19" s="15" t="str">
        <f>IFERROR(ROUND(AVERAGEIF(October!M3:M33,"&lt;&gt;"),1),"")</f>
        <v/>
      </c>
      <c r="K19" s="14">
        <f>COUNT(October!A3:A33)</f>
        <v>0</v>
      </c>
    </row>
    <row r="20" spans="1:11" x14ac:dyDescent="0.3">
      <c r="A20" s="12" t="s">
        <v>31</v>
      </c>
      <c r="B20" s="13" t="str">
        <f>IFERROR(ROUND(AVERAGEIF(November!C3:C33,"&lt;&gt;"),1),"")</f>
        <v/>
      </c>
      <c r="C20" s="13" t="str">
        <f>IFERROR(ROUND(AVERAGEIF(November!E3:E33,"&lt;&gt;"),1),"")</f>
        <v/>
      </c>
      <c r="D20" s="13" t="str">
        <f>IFERROR(ROUND(AVERAGEIF(November!F3:F33,"&lt;&gt;"),1),"")</f>
        <v/>
      </c>
      <c r="E20" s="13" t="str">
        <f>IFERROR(ROUND(AVERAGEIF(November!G3:G33,"&lt;&gt;"),1),"")</f>
        <v/>
      </c>
      <c r="F20" s="13" t="str">
        <f>IFERROR(ROUND(AVERAGEIF(November!H3:H33,"&lt;&gt;"),1),"")</f>
        <v/>
      </c>
      <c r="G20" s="13" t="str">
        <f>IFERROR(ROUND(AVERAGEIF(November!I3:I33,"&lt;&gt;"),1),"")</f>
        <v/>
      </c>
      <c r="H20" s="13" t="str">
        <f>IFERROR(ROUND(AVERAGEIF(November!J3:J33,"&lt;&gt;"),1),"")</f>
        <v/>
      </c>
      <c r="I20" s="13" t="str">
        <f>IFERROR(ROUND(AVERAGEIF(November!K3:K33,"&lt;&gt;"),1),"")</f>
        <v/>
      </c>
      <c r="J20" s="13" t="str">
        <f>IFERROR(ROUND(AVERAGEIF(November!M3:M33,"&lt;&gt;"),1),"")</f>
        <v/>
      </c>
      <c r="K20" s="12">
        <f>COUNT(November!A3:A33)</f>
        <v>0</v>
      </c>
    </row>
    <row r="21" spans="1:11" x14ac:dyDescent="0.3">
      <c r="A21" s="14" t="s">
        <v>32</v>
      </c>
      <c r="B21" s="15" t="str">
        <f>IFERROR(ROUND(AVERAGEIF(December!C3:C33,"&lt;&gt;"),1),"")</f>
        <v/>
      </c>
      <c r="C21" s="15" t="str">
        <f>IFERROR(ROUND(AVERAGEIF(December!E3:E33,"&lt;&gt;"),1),"")</f>
        <v/>
      </c>
      <c r="D21" s="15" t="str">
        <f>IFERROR(ROUND(AVERAGEIF(December!F3:F33,"&lt;&gt;"),1),"")</f>
        <v/>
      </c>
      <c r="E21" s="15" t="str">
        <f>IFERROR(ROUND(AVERAGEIF(December!G3:G33,"&lt;&gt;"),1),"")</f>
        <v/>
      </c>
      <c r="F21" s="15" t="str">
        <f>IFERROR(ROUND(AVERAGEIF(December!H3:H33,"&lt;&gt;"),1),"")</f>
        <v/>
      </c>
      <c r="G21" s="15" t="str">
        <f>IFERROR(ROUND(AVERAGEIF(December!I3:I33,"&lt;&gt;"),1),"")</f>
        <v/>
      </c>
      <c r="H21" s="15" t="str">
        <f>IFERROR(ROUND(AVERAGEIF(December!J3:J33,"&lt;&gt;"),1),"")</f>
        <v/>
      </c>
      <c r="I21" s="15" t="str">
        <f>IFERROR(ROUND(AVERAGEIF(December!K3:K33,"&lt;&gt;"),1),"")</f>
        <v/>
      </c>
      <c r="J21" s="15" t="str">
        <f>IFERROR(ROUND(AVERAGEIF(December!M3:M33,"&lt;&gt;"),1),"")</f>
        <v/>
      </c>
      <c r="K21" s="14">
        <f>COUNT(December!A3:A33)</f>
        <v>0</v>
      </c>
    </row>
    <row r="24" spans="1:11" ht="28.8" x14ac:dyDescent="0.3">
      <c r="A24" s="16" t="s">
        <v>33</v>
      </c>
      <c r="B24" s="17" t="s">
        <v>34</v>
      </c>
    </row>
    <row r="25" spans="1:11" x14ac:dyDescent="0.3">
      <c r="A25" s="14" t="s">
        <v>35</v>
      </c>
      <c r="B25" s="14">
        <f>COUNTIF(January!P3:P33,$A25)+COUNTIF(February!P3:P33,$A25)+COUNTIF(March!P3:P33,$A25)+COUNTIF(April!P3:P33,$A25)+COUNTIF(May!P3:P33,$A25)+COUNTIF(June!P3:P33,$A25)+COUNTIF(July!P3:P33,$A25)+COUNTIF(August!P3:P33,$A25)+COUNTIF(September!P3:P33,$A25)+COUNTIF(October!P3:P33,$A25)+COUNTIF(November!P3:P33,$A25)+COUNTIF(December!P3:P33,$A25)</f>
        <v>0</v>
      </c>
    </row>
    <row r="26" spans="1:11" x14ac:dyDescent="0.3">
      <c r="A26" s="12" t="s">
        <v>36</v>
      </c>
      <c r="B26" s="12">
        <f>COUNTIF(January!P3:P33,$A26)+COUNTIF(February!P3:P33,$A26)+COUNTIF(March!P3:P33,$A26)+COUNTIF(April!P3:P33,$A26)+COUNTIF(May!P3:P33,$A26)+COUNTIF(June!P3:P33,$A26)+COUNTIF(July!P3:P33,$A26)+COUNTIF(August!P3:P33,$A26)+COUNTIF(September!P3:P33,$A26)+COUNTIF(October!P3:P33,$A26)+COUNTIF(November!P3:P33,$A26)+COUNTIF(December!P3:P33,$A26)</f>
        <v>1</v>
      </c>
    </row>
    <row r="27" spans="1:11" x14ac:dyDescent="0.3">
      <c r="A27" s="14" t="s">
        <v>37</v>
      </c>
      <c r="B27" s="14">
        <f>COUNTIF(January!P3:P33,$A27)+COUNTIF(February!P3:P33,$A27)+COUNTIF(March!P3:P33,$A27)+COUNTIF(April!P3:P33,$A27)+COUNTIF(May!P3:P33,$A27)+COUNTIF(June!P3:P33,$A27)+COUNTIF(July!P3:P33,$A27)+COUNTIF(August!P3:P33,$A27)+COUNTIF(September!P3:P33,$A27)+COUNTIF(October!P3:P33,$A27)+COUNTIF(November!P3:P33,$A27)+COUNTIF(December!P3:P33,$A27)</f>
        <v>0</v>
      </c>
    </row>
    <row r="28" spans="1:11" x14ac:dyDescent="0.3">
      <c r="A28" s="12" t="s">
        <v>38</v>
      </c>
      <c r="B28" s="12">
        <f>COUNTIF(January!P3:P33,$A28)+COUNTIF(February!P3:P33,$A28)+COUNTIF(March!P3:P33,$A28)+COUNTIF(April!P3:P33,$A28)+COUNTIF(May!P3:P33,$A28)+COUNTIF(June!P3:P33,$A28)+COUNTIF(July!P3:P33,$A28)+COUNTIF(August!P3:P33,$A28)+COUNTIF(September!P3:P33,$A28)+COUNTIF(October!P3:P33,$A28)+COUNTIF(November!P3:P33,$A28)+COUNTIF(December!P3:P33,$A28)</f>
        <v>0</v>
      </c>
    </row>
    <row r="29" spans="1:11" x14ac:dyDescent="0.3">
      <c r="A29" s="14" t="s">
        <v>39</v>
      </c>
      <c r="B29" s="14">
        <f>COUNTIF(January!P3:P33,$A29)+COUNTIF(February!P3:P33,$A29)+COUNTIF(March!P3:P33,$A29)+COUNTIF(April!P3:P33,$A29)+COUNTIF(May!P3:P33,$A29)+COUNTIF(June!P3:P33,$A29)+COUNTIF(July!P3:P33,$A29)+COUNTIF(August!P3:P33,$A29)+COUNTIF(September!P3:P33,$A29)+COUNTIF(October!P3:P33,$A29)+COUNTIF(November!P3:P33,$A29)+COUNTIF(December!P3:P33,$A29)</f>
        <v>0</v>
      </c>
    </row>
    <row r="30" spans="1:11" x14ac:dyDescent="0.3">
      <c r="A30" s="12" t="s">
        <v>40</v>
      </c>
      <c r="B30" s="12">
        <f>COUNTIF(January!P3:P33,$A30)+COUNTIF(February!P3:P33,$A30)+COUNTIF(March!P3:P33,$A30)+COUNTIF(April!P3:P33,$A30)+COUNTIF(May!P3:P33,$A30)+COUNTIF(June!P3:P33,$A30)+COUNTIF(July!P3:P33,$A30)+COUNTIF(August!P3:P33,$A30)+COUNTIF(September!P3:P33,$A30)+COUNTIF(October!P3:P33,$A30)+COUNTIF(November!P3:P33,$A30)+COUNTIF(December!P3:P33,$A30)</f>
        <v>1</v>
      </c>
    </row>
    <row r="31" spans="1:11" x14ac:dyDescent="0.3">
      <c r="A31" s="14" t="s">
        <v>41</v>
      </c>
      <c r="B31" s="14">
        <f>COUNTIF(January!P3:P33,$A31)+COUNTIF(February!P3:P33,$A31)+COUNTIF(March!P3:P33,$A31)+COUNTIF(April!P3:P33,$A31)+COUNTIF(May!P3:P33,$A31)+COUNTIF(June!P3:P33,$A31)+COUNTIF(July!P3:P33,$A31)+COUNTIF(August!P3:P33,$A31)+COUNTIF(September!P3:P33,$A31)+COUNTIF(October!P3:P33,$A31)+COUNTIF(November!P3:P33,$A31)+COUNTIF(December!P3:P33,$A31)</f>
        <v>0</v>
      </c>
    </row>
    <row r="32" spans="1:11" x14ac:dyDescent="0.3">
      <c r="A32" s="12" t="s">
        <v>42</v>
      </c>
      <c r="B32" s="12">
        <f>COUNTIF(January!P3:P33,$A32)+COUNTIF(February!P3:P33,$A32)+COUNTIF(March!P3:P33,$A32)+COUNTIF(April!P3:P33,$A32)+COUNTIF(May!P3:P33,$A32)+COUNTIF(June!P3:P33,$A32)+COUNTIF(July!P3:P33,$A32)+COUNTIF(August!P3:P33,$A32)+COUNTIF(September!P3:P33,$A32)+COUNTIF(October!P3:P33,$A32)+COUNTIF(November!P3:P33,$A32)+COUNTIF(December!P3:P33,$A32)</f>
        <v>0</v>
      </c>
    </row>
    <row r="33" spans="1:2" x14ac:dyDescent="0.3">
      <c r="A33" s="14" t="s">
        <v>43</v>
      </c>
      <c r="B33" s="14">
        <f>COUNTIF(January!P3:P33,$A33)+COUNTIF(February!P3:P33,$A33)+COUNTIF(March!P3:P33,$A33)+COUNTIF(April!P3:P33,$A33)+COUNTIF(May!P3:P33,$A33)+COUNTIF(June!P3:P33,$A33)+COUNTIF(July!P3:P33,$A33)+COUNTIF(August!P3:P33,$A33)+COUNTIF(September!P3:P33,$A33)+COUNTIF(October!P3:P33,$A33)+COUNTIF(November!P3:P33,$A33)+COUNTIF(December!P3:P33,$A33)</f>
        <v>0</v>
      </c>
    </row>
    <row r="34" spans="1:2" x14ac:dyDescent="0.3">
      <c r="A34" s="12" t="s">
        <v>44</v>
      </c>
      <c r="B34" s="12">
        <f>COUNTIF(January!P3:P33,$A34)+COUNTIF(February!P3:P33,$A34)+COUNTIF(March!P3:P33,$A34)+COUNTIF(April!P3:P33,$A34)+COUNTIF(May!P3:P33,$A34)+COUNTIF(June!P3:P33,$A34)+COUNTIF(July!P3:P33,$A34)+COUNTIF(August!P3:P33,$A34)+COUNTIF(September!P3:P33,$A34)+COUNTIF(October!P3:P33,$A34)+COUNTIF(November!P3:P33,$A34)+COUNTIF(December!P3:P33,$A34)</f>
        <v>0</v>
      </c>
    </row>
  </sheetData>
  <mergeCells count="11">
    <mergeCell ref="A6:B6"/>
    <mergeCell ref="C6:D6"/>
    <mergeCell ref="E6:F6"/>
    <mergeCell ref="G6:H6"/>
    <mergeCell ref="I6:J6"/>
    <mergeCell ref="A1:J1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Lists!$E$2:$E$13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/>
  </sheetViews>
  <sheetFormatPr defaultColWidth="8.6640625" defaultRowHeight="14.4" x14ac:dyDescent="0.3"/>
  <cols>
    <col min="1" max="2" width="14" customWidth="1"/>
    <col min="3" max="5" width="12" customWidth="1"/>
  </cols>
  <sheetData>
    <row r="1" spans="1:5" x14ac:dyDescent="0.3">
      <c r="A1" s="16" t="s">
        <v>33</v>
      </c>
      <c r="B1" s="16" t="s">
        <v>45</v>
      </c>
      <c r="C1" s="16" t="s">
        <v>46</v>
      </c>
      <c r="D1" s="16" t="s">
        <v>47</v>
      </c>
      <c r="E1" s="16" t="s">
        <v>16</v>
      </c>
    </row>
    <row r="2" spans="1:5" x14ac:dyDescent="0.3">
      <c r="A2" s="18" t="s">
        <v>35</v>
      </c>
      <c r="B2" s="18" t="s">
        <v>48</v>
      </c>
      <c r="C2" s="18" t="s">
        <v>49</v>
      </c>
      <c r="D2" s="18" t="s">
        <v>39</v>
      </c>
      <c r="E2" s="18" t="s">
        <v>4</v>
      </c>
    </row>
    <row r="3" spans="1:5" x14ac:dyDescent="0.3">
      <c r="A3" s="18" t="s">
        <v>36</v>
      </c>
      <c r="B3" s="18" t="s">
        <v>50</v>
      </c>
      <c r="C3" s="18" t="s">
        <v>51</v>
      </c>
      <c r="D3" s="18" t="s">
        <v>52</v>
      </c>
      <c r="E3" s="18" t="s">
        <v>22</v>
      </c>
    </row>
    <row r="4" spans="1:5" x14ac:dyDescent="0.3">
      <c r="A4" s="18" t="s">
        <v>37</v>
      </c>
      <c r="C4" s="18" t="s">
        <v>53</v>
      </c>
      <c r="D4" s="18" t="s">
        <v>54</v>
      </c>
      <c r="E4" s="18" t="s">
        <v>23</v>
      </c>
    </row>
    <row r="5" spans="1:5" x14ac:dyDescent="0.3">
      <c r="A5" s="18" t="s">
        <v>38</v>
      </c>
      <c r="C5" s="18" t="s">
        <v>55</v>
      </c>
      <c r="E5" s="18" t="s">
        <v>24</v>
      </c>
    </row>
    <row r="6" spans="1:5" x14ac:dyDescent="0.3">
      <c r="A6" s="18" t="s">
        <v>39</v>
      </c>
      <c r="E6" s="18" t="s">
        <v>25</v>
      </c>
    </row>
    <row r="7" spans="1:5" x14ac:dyDescent="0.3">
      <c r="A7" s="18" t="s">
        <v>40</v>
      </c>
      <c r="E7" s="18" t="s">
        <v>26</v>
      </c>
    </row>
    <row r="8" spans="1:5" x14ac:dyDescent="0.3">
      <c r="A8" s="18" t="s">
        <v>41</v>
      </c>
      <c r="E8" s="18" t="s">
        <v>27</v>
      </c>
    </row>
    <row r="9" spans="1:5" x14ac:dyDescent="0.3">
      <c r="A9" s="18" t="s">
        <v>42</v>
      </c>
      <c r="E9" s="18" t="s">
        <v>28</v>
      </c>
    </row>
    <row r="10" spans="1:5" x14ac:dyDescent="0.3">
      <c r="A10" s="18" t="s">
        <v>43</v>
      </c>
      <c r="E10" s="18" t="s">
        <v>29</v>
      </c>
    </row>
    <row r="11" spans="1:5" x14ac:dyDescent="0.3">
      <c r="A11" s="18" t="s">
        <v>44</v>
      </c>
      <c r="E11" s="18" t="s">
        <v>30</v>
      </c>
    </row>
    <row r="12" spans="1:5" x14ac:dyDescent="0.3">
      <c r="E12" s="18" t="s">
        <v>31</v>
      </c>
    </row>
    <row r="13" spans="1:5" x14ac:dyDescent="0.3">
      <c r="E13" s="18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>
      <selection sqref="A1:C1"/>
    </sheetView>
  </sheetViews>
  <sheetFormatPr defaultColWidth="8.6640625" defaultRowHeight="14.4" x14ac:dyDescent="0.3"/>
  <cols>
    <col min="1" max="1" width="26" customWidth="1"/>
    <col min="2" max="2" width="16" customWidth="1"/>
    <col min="3" max="3" width="44" customWidth="1"/>
  </cols>
  <sheetData>
    <row r="1" spans="1:3" ht="21.75" customHeight="1" x14ac:dyDescent="0.35">
      <c r="A1" s="1" t="s">
        <v>56</v>
      </c>
      <c r="B1" s="1"/>
      <c r="C1" s="1"/>
    </row>
    <row r="2" spans="1:3" x14ac:dyDescent="0.3">
      <c r="A2" s="10" t="s">
        <v>57</v>
      </c>
      <c r="B2" s="10" t="s">
        <v>58</v>
      </c>
      <c r="C2" s="10" t="s">
        <v>59</v>
      </c>
    </row>
    <row r="3" spans="1:3" x14ac:dyDescent="0.3">
      <c r="A3" s="14" t="s">
        <v>60</v>
      </c>
      <c r="B3" s="19">
        <v>166</v>
      </c>
      <c r="C3" s="20" t="s">
        <v>61</v>
      </c>
    </row>
    <row r="4" spans="1:3" x14ac:dyDescent="0.3">
      <c r="A4" s="12" t="s">
        <v>62</v>
      </c>
      <c r="B4" s="21">
        <v>8000</v>
      </c>
      <c r="C4" s="22" t="s">
        <v>63</v>
      </c>
    </row>
    <row r="5" spans="1:3" x14ac:dyDescent="0.3">
      <c r="A5" s="14" t="s">
        <v>64</v>
      </c>
      <c r="B5" s="19">
        <v>2.5</v>
      </c>
      <c r="C5" s="20" t="s">
        <v>65</v>
      </c>
    </row>
    <row r="6" spans="1:3" x14ac:dyDescent="0.3">
      <c r="A6" s="12" t="s">
        <v>66</v>
      </c>
      <c r="B6" s="21">
        <v>7.5</v>
      </c>
      <c r="C6" s="22" t="s">
        <v>67</v>
      </c>
    </row>
    <row r="7" spans="1:3" x14ac:dyDescent="0.3">
      <c r="A7" s="14" t="s">
        <v>68</v>
      </c>
      <c r="B7" s="19">
        <v>6</v>
      </c>
      <c r="C7" s="20" t="s">
        <v>69</v>
      </c>
    </row>
    <row r="9" spans="1:3" x14ac:dyDescent="0.3">
      <c r="A9" s="23" t="s">
        <v>70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V1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25">
        <f>DATE(2026,1,1)</f>
        <v>46023</v>
      </c>
      <c r="B3" s="26" t="str">
        <f t="shared" ref="B3:B33" si="0">IF(A3="","",TEXT(A3,"ddd"))</f>
        <v>Thu</v>
      </c>
      <c r="C3" s="27">
        <v>62.4</v>
      </c>
      <c r="D3" s="14">
        <f>IFERROR(ROUND(C3/((Settings!$B$3/100)^2),1),"")</f>
        <v>22.6</v>
      </c>
      <c r="E3" s="27">
        <v>62.9</v>
      </c>
      <c r="F3" s="27">
        <v>7400</v>
      </c>
      <c r="G3" s="27">
        <v>72</v>
      </c>
      <c r="H3" s="27">
        <v>1850</v>
      </c>
      <c r="I3" s="27">
        <v>2100</v>
      </c>
      <c r="J3" s="27">
        <v>2.5</v>
      </c>
      <c r="K3" s="27">
        <v>7</v>
      </c>
      <c r="L3" s="27" t="s">
        <v>53</v>
      </c>
      <c r="M3" s="27">
        <v>5.5</v>
      </c>
      <c r="N3" s="27" t="s">
        <v>48</v>
      </c>
      <c r="O3" s="27" t="s">
        <v>90</v>
      </c>
      <c r="P3" s="27" t="s">
        <v>36</v>
      </c>
      <c r="Q3" s="27" t="s">
        <v>39</v>
      </c>
      <c r="R3" s="27">
        <v>7</v>
      </c>
      <c r="S3" s="27" t="s">
        <v>91</v>
      </c>
      <c r="T3" s="27" t="s">
        <v>92</v>
      </c>
      <c r="U3" s="27" t="s">
        <v>93</v>
      </c>
      <c r="V3" s="27" t="s">
        <v>94</v>
      </c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{47D2695C-9440-41E2-8A26-8C38A1606E70}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{23BC769D-A71C-436B-A981-BE1396E1F838}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{6590C957-454E-4814-BCDA-5391BF2F407B}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2695C-9440-41E2-8A26-8C38A1606E70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23BC769D-A71C-436B-A981-BE1396E1F838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6590C957-454E-4814-BCDA-5391BF2F407B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3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3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3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{4BA93A8B-8BCB-491A-8F19-FB131F6828D8}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{4B14969A-207C-4DA2-A935-504AB3D89B95}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{4BA111D8-2687-42DF-8E95-4EA4E27DDAFC}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A93A8B-8BCB-491A-8F19-FB131F6828D8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4B14969A-207C-4DA2-A935-504AB3D89B95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4BA111D8-2687-42DF-8E95-4EA4E27DDAFC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4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4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4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{C2D16442-BD7A-414F-A62E-D1789833B47C}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{661C9638-C740-4739-8014-6E8B6333505C}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{EA26B391-1150-4A9D-8B46-902754E79FF2}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D16442-BD7A-414F-A62E-D1789833B47C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661C9638-C740-4739-8014-6E8B6333505C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EA26B391-1150-4A9D-8B46-902754E79FF2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5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5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5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5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V1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{558D3E79-3AA0-4C19-8C27-302D6F56AF60}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{FEF08D50-3A4A-4197-91B0-2731488F2727}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{F8905B85-3F31-42CB-A071-71CFF949C2F0}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8D3E79-3AA0-4C19-8C27-302D6F56AF60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FEF08D50-3A4A-4197-91B0-2731488F2727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F8905B85-3F31-42CB-A071-71CFF949C2F0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6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6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6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6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{43C02B66-4E72-4A2B-AD78-537CD9242ACB}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{30DE20A5-A8BF-4062-BD69-603DFBD62190}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{6EC6F715-B6EB-4A32-A723-A06FA8D5D5A9}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C02B66-4E72-4A2B-AD78-537CD9242ACB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30DE20A5-A8BF-4062-BD69-603DFBD62190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6EC6F715-B6EB-4A32-A723-A06FA8D5D5A9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7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7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7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7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V1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{225A16DC-5E7B-4971-8217-4DB8FF49B616}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{EFD6157A-4448-4021-87BB-6DF4F36324F5}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{ABAD9C7D-568C-4BA1-B9C2-D06DE2A1E613}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5A16DC-5E7B-4971-8217-4DB8FF49B616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EFD6157A-4448-4021-87BB-6DF4F36324F5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ABAD9C7D-568C-4BA1-B9C2-D06DE2A1E613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8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8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8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8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{EEB6DB40-B47E-4D5E-B318-BB9D12183AA4}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{27E28CE2-80E0-48ED-931E-B04FC78FE6A4}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{80DBB0DF-4460-4859-8915-528E8C28B1E2}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B6DB40-B47E-4D5E-B318-BB9D12183AA4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27E28CE2-80E0-48ED-931E-B04FC78FE6A4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80DBB0DF-4460-4859-8915-528E8C28B1E2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9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9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9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9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3"/>
  <sheetViews>
    <sheetView tabSelected="1" zoomScaleNormal="100"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V30" sqref="V30"/>
    </sheetView>
  </sheetViews>
  <sheetFormatPr defaultColWidth="8.6640625" defaultRowHeight="14.4" x14ac:dyDescent="0.3"/>
  <cols>
    <col min="1" max="1" width="12" customWidth="1"/>
    <col min="2" max="2" width="14.44140625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>
        <v>46235</v>
      </c>
      <c r="B3" s="14" t="str">
        <f t="shared" ref="B3:B33" si="0">IF(A3="","",TEXT(A3,"ddd"))</f>
        <v>Sat</v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30">
        <v>46236</v>
      </c>
      <c r="B4" s="12" t="str">
        <f t="shared" si="0"/>
        <v>Sun</v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>
        <v>46237</v>
      </c>
      <c r="B5" s="14" t="str">
        <f t="shared" si="0"/>
        <v>Mon</v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30">
        <v>46238</v>
      </c>
      <c r="B6" s="12" t="str">
        <f t="shared" si="0"/>
        <v>Tue</v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>
        <v>46239</v>
      </c>
      <c r="B7" s="14" t="str">
        <f t="shared" si="0"/>
        <v>Wed</v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30">
        <v>46240</v>
      </c>
      <c r="B8" s="12" t="str">
        <f t="shared" si="0"/>
        <v>Thu</v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>
        <v>46241</v>
      </c>
      <c r="B9" s="14" t="str">
        <f t="shared" si="0"/>
        <v>Fri</v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30">
        <v>46242</v>
      </c>
      <c r="B10" s="12" t="str">
        <f t="shared" si="0"/>
        <v>Sat</v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>
        <v>46243</v>
      </c>
      <c r="B11" s="14" t="str">
        <f t="shared" si="0"/>
        <v>Sun</v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30">
        <v>46244</v>
      </c>
      <c r="B12" s="12" t="str">
        <f t="shared" si="0"/>
        <v>Mon</v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>
        <v>46245</v>
      </c>
      <c r="B13" s="14" t="str">
        <f t="shared" si="0"/>
        <v>Tue</v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30">
        <v>46246</v>
      </c>
      <c r="B14" s="12" t="str">
        <f t="shared" si="0"/>
        <v>Wed</v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>
        <v>46247</v>
      </c>
      <c r="B15" s="14" t="str">
        <f t="shared" si="0"/>
        <v>Thu</v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30">
        <v>46248</v>
      </c>
      <c r="B16" s="12" t="str">
        <f t="shared" si="0"/>
        <v>Fri</v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>
        <v>46249</v>
      </c>
      <c r="B17" s="14" t="str">
        <f t="shared" si="0"/>
        <v>Sat</v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30">
        <v>46250</v>
      </c>
      <c r="B18" s="12" t="str">
        <f t="shared" si="0"/>
        <v>Sun</v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>
        <v>46251</v>
      </c>
      <c r="B19" s="14" t="str">
        <f t="shared" si="0"/>
        <v>Mon</v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30">
        <v>46252</v>
      </c>
      <c r="B20" s="12" t="str">
        <f t="shared" si="0"/>
        <v>Tue</v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>
        <v>46253</v>
      </c>
      <c r="B21" s="14" t="str">
        <f t="shared" si="0"/>
        <v>Wed</v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30">
        <v>46254</v>
      </c>
      <c r="B22" s="12" t="str">
        <f t="shared" si="0"/>
        <v>Thu</v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>
        <v>46255</v>
      </c>
      <c r="B23" s="14" t="str">
        <f t="shared" si="0"/>
        <v>Fri</v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30">
        <v>46256</v>
      </c>
      <c r="B24" s="12" t="str">
        <f t="shared" si="0"/>
        <v>Sat</v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>
        <v>46257</v>
      </c>
      <c r="B25" s="14" t="str">
        <f t="shared" si="0"/>
        <v>Sun</v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30">
        <v>46258</v>
      </c>
      <c r="B26" s="12" t="str">
        <f t="shared" si="0"/>
        <v>Mon</v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>
        <v>46259</v>
      </c>
      <c r="B27" s="14" t="str">
        <f t="shared" si="0"/>
        <v>Tue</v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30">
        <v>46260</v>
      </c>
      <c r="B28" s="12" t="str">
        <f t="shared" si="0"/>
        <v>Wed</v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>
        <v>46261</v>
      </c>
      <c r="B29" s="14" t="str">
        <f t="shared" si="0"/>
        <v>Thu</v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30">
        <v>46262</v>
      </c>
      <c r="B30" s="12" t="str">
        <f t="shared" si="0"/>
        <v>Fri</v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>
        <v>6</v>
      </c>
      <c r="L30" s="29" t="s">
        <v>53</v>
      </c>
      <c r="M30" s="29">
        <v>8</v>
      </c>
      <c r="N30" s="29" t="s">
        <v>50</v>
      </c>
      <c r="O30" s="29"/>
      <c r="P30" s="29" t="s">
        <v>40</v>
      </c>
      <c r="Q30" s="29" t="s">
        <v>52</v>
      </c>
      <c r="R30" s="29">
        <v>3</v>
      </c>
      <c r="S30" s="29" t="s">
        <v>106</v>
      </c>
      <c r="T30" s="29" t="s">
        <v>107</v>
      </c>
      <c r="U30" s="29" t="s">
        <v>108</v>
      </c>
      <c r="V30" s="29"/>
    </row>
    <row r="31" spans="1:22" x14ac:dyDescent="0.3">
      <c r="A31" s="30">
        <v>46263</v>
      </c>
      <c r="B31" s="14" t="str">
        <f t="shared" si="0"/>
        <v>Sat</v>
      </c>
      <c r="C31" s="31">
        <v>63.9</v>
      </c>
      <c r="D31" s="14">
        <f>IFERROR(ROUND(C31/((Settings!$B$3/100)^2),1),"")</f>
        <v>23.2</v>
      </c>
      <c r="E31" s="31"/>
      <c r="F31" s="31">
        <v>2000</v>
      </c>
      <c r="G31" s="31"/>
      <c r="H31" s="31"/>
      <c r="I31" s="31"/>
      <c r="J31" s="31">
        <v>3.5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30">
        <v>46264</v>
      </c>
      <c r="B32" s="12" t="str">
        <f t="shared" si="0"/>
        <v>Sun</v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>
        <v>46265</v>
      </c>
      <c r="B33" s="14" t="str">
        <f t="shared" si="0"/>
        <v>Mon</v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{4DAD1ED6-EFAB-441D-BF10-F0D733C56679}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{8FF7BAD5-9DD0-453E-A820-D0E35E28C499}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{BAAD71C0-F685-4CA0-A3D5-90F482BE7070}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AD1ED6-EFAB-441D-BF10-F0D733C56679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8FF7BAD5-9DD0-453E-A820-D0E35E28C499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BAAD71C0-F685-4CA0-A3D5-90F482BE7070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A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A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A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A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V1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{25D3E2C6-5CB2-4910-8959-4A19828BC69B}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{80E61847-A650-4560-A78C-9DF2B0A4BC46}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{B2908C7A-1028-47C0-AB4E-EA311318CD20}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D3E2C6-5CB2-4910-8959-4A19828BC69B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80E61847-A650-4560-A78C-9DF2B0A4BC46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B2908C7A-1028-47C0-AB4E-EA311318CD20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B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B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B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B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{97A1A449-A2D4-4642-B677-BC551C7C4A39}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{42B68684-5096-4352-90DF-6BAF5FEF88A4}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{85BC2128-B199-472D-AC8C-A1E5CCE1C537}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A1A449-A2D4-4642-B677-BC551C7C4A39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42B68684-5096-4352-90DF-6BAF5FEF88A4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85BC2128-B199-472D-AC8C-A1E5CCE1C537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C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C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C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C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{B8154172-9EB6-436C-8840-7FC258FD7BA0}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{6D8C80E8-4B76-4981-82EB-4F8AA9502C51}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{BCE0B550-F494-48B9-861C-2460127EA0F5}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154172-9EB6-436C-8840-7FC258FD7BA0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6D8C80E8-4B76-4981-82EB-4F8AA9502C51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BCE0B550-F494-48B9-861C-2460127EA0F5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D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D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D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D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4" x14ac:dyDescent="0.3"/>
  <cols>
    <col min="1" max="1" width="12" customWidth="1"/>
    <col min="2" max="2" width="7" customWidth="1"/>
    <col min="3" max="3" width="13" customWidth="1"/>
    <col min="4" max="4" width="10" customWidth="1"/>
    <col min="5" max="5" width="13" customWidth="1"/>
    <col min="6" max="6" width="9" customWidth="1"/>
    <col min="7" max="9" width="12" customWidth="1"/>
    <col min="10" max="11" width="9" customWidth="1"/>
    <col min="12" max="12" width="11" customWidth="1"/>
    <col min="13" max="14" width="10" customWidth="1"/>
    <col min="15" max="15" width="16" customWidth="1"/>
    <col min="16" max="16" width="11" customWidth="1"/>
    <col min="17" max="18" width="10" customWidth="1"/>
    <col min="19" max="21" width="24" customWidth="1"/>
    <col min="22" max="22" width="28" customWidth="1"/>
  </cols>
  <sheetData>
    <row r="1" spans="1:22" ht="21.75" customHeight="1" x14ac:dyDescent="0.35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3.75" customHeight="1" x14ac:dyDescent="0.3">
      <c r="A2" s="24" t="s">
        <v>72</v>
      </c>
      <c r="B2" s="24" t="s">
        <v>73</v>
      </c>
      <c r="C2" s="24" t="s">
        <v>74</v>
      </c>
      <c r="D2" s="24" t="s">
        <v>75</v>
      </c>
      <c r="E2" s="24" t="s">
        <v>76</v>
      </c>
      <c r="F2" s="24" t="s">
        <v>77</v>
      </c>
      <c r="G2" s="24" t="s">
        <v>78</v>
      </c>
      <c r="H2" s="24" t="s">
        <v>79</v>
      </c>
      <c r="I2" s="24" t="s">
        <v>80</v>
      </c>
      <c r="J2" s="24" t="s">
        <v>81</v>
      </c>
      <c r="K2" s="24" t="s">
        <v>82</v>
      </c>
      <c r="L2" s="24" t="s">
        <v>46</v>
      </c>
      <c r="M2" s="24" t="s">
        <v>83</v>
      </c>
      <c r="N2" s="24" t="s">
        <v>45</v>
      </c>
      <c r="O2" s="24" t="s">
        <v>84</v>
      </c>
      <c r="P2" s="24" t="s">
        <v>33</v>
      </c>
      <c r="Q2" s="24" t="s">
        <v>47</v>
      </c>
      <c r="R2" s="24" t="s">
        <v>85</v>
      </c>
      <c r="S2" s="24" t="s">
        <v>86</v>
      </c>
      <c r="T2" s="24" t="s">
        <v>87</v>
      </c>
      <c r="U2" s="24" t="s">
        <v>88</v>
      </c>
      <c r="V2" s="24" t="s">
        <v>89</v>
      </c>
    </row>
    <row r="3" spans="1:22" x14ac:dyDescent="0.3">
      <c r="A3" s="30"/>
      <c r="B3" s="14" t="str">
        <f t="shared" ref="B3:B33" si="0">IF(A3="","",TEXT(A3,"ddd"))</f>
        <v/>
      </c>
      <c r="C3" s="31"/>
      <c r="D3" s="14">
        <f>IFERROR(ROUND(C3/((Settings!$B$3/100)^2),1),"")</f>
        <v>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3">
      <c r="A4" s="28"/>
      <c r="B4" s="12" t="str">
        <f t="shared" si="0"/>
        <v/>
      </c>
      <c r="C4" s="29"/>
      <c r="D4" s="12">
        <f>IFERROR(ROUND(C4/((Settings!$B$3/100)^2),1),"")</f>
        <v>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3">
      <c r="A5" s="30"/>
      <c r="B5" s="14" t="str">
        <f t="shared" si="0"/>
        <v/>
      </c>
      <c r="C5" s="31"/>
      <c r="D5" s="14">
        <f>IFERROR(ROUND(C5/((Settings!$B$3/100)^2),1),"")</f>
        <v>0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x14ac:dyDescent="0.3">
      <c r="A6" s="28"/>
      <c r="B6" s="12" t="str">
        <f t="shared" si="0"/>
        <v/>
      </c>
      <c r="C6" s="29"/>
      <c r="D6" s="12">
        <f>IFERROR(ROUND(C6/((Settings!$B$3/100)^2),1),"")</f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30"/>
      <c r="B7" s="14" t="str">
        <f t="shared" si="0"/>
        <v/>
      </c>
      <c r="C7" s="31"/>
      <c r="D7" s="14">
        <f>IFERROR(ROUND(C7/((Settings!$B$3/100)^2),1),"")</f>
        <v>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x14ac:dyDescent="0.3">
      <c r="A8" s="28"/>
      <c r="B8" s="12" t="str">
        <f t="shared" si="0"/>
        <v/>
      </c>
      <c r="C8" s="29"/>
      <c r="D8" s="12">
        <f>IFERROR(ROUND(C8/((Settings!$B$3/100)^2),1),"")</f>
        <v>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30"/>
      <c r="B9" s="14" t="str">
        <f t="shared" si="0"/>
        <v/>
      </c>
      <c r="C9" s="31"/>
      <c r="D9" s="14">
        <f>IFERROR(ROUND(C9/((Settings!$B$3/100)^2),1),"")</f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x14ac:dyDescent="0.3">
      <c r="A10" s="28"/>
      <c r="B10" s="12" t="str">
        <f t="shared" si="0"/>
        <v/>
      </c>
      <c r="C10" s="29"/>
      <c r="D10" s="12">
        <f>IFERROR(ROUND(C10/((Settings!$B$3/100)^2),1),"")</f>
        <v>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30"/>
      <c r="B11" s="14" t="str">
        <f t="shared" si="0"/>
        <v/>
      </c>
      <c r="C11" s="31"/>
      <c r="D11" s="14">
        <f>IFERROR(ROUND(C11/((Settings!$B$3/100)^2),1),"")</f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2" x14ac:dyDescent="0.3">
      <c r="A12" s="28"/>
      <c r="B12" s="12" t="str">
        <f t="shared" si="0"/>
        <v/>
      </c>
      <c r="C12" s="29"/>
      <c r="D12" s="12">
        <f>IFERROR(ROUND(C12/((Settings!$B$3/100)^2),1),"")</f>
        <v>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30"/>
      <c r="B13" s="14" t="str">
        <f t="shared" si="0"/>
        <v/>
      </c>
      <c r="C13" s="31"/>
      <c r="D13" s="14">
        <f>IFERROR(ROUND(C13/((Settings!$B$3/100)^2),1),"")</f>
        <v>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2" x14ac:dyDescent="0.3">
      <c r="A14" s="28"/>
      <c r="B14" s="12" t="str">
        <f t="shared" si="0"/>
        <v/>
      </c>
      <c r="C14" s="29"/>
      <c r="D14" s="12">
        <f>IFERROR(ROUND(C14/((Settings!$B$3/100)^2),1),"")</f>
        <v>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30"/>
      <c r="B15" s="14" t="str">
        <f t="shared" si="0"/>
        <v/>
      </c>
      <c r="C15" s="31"/>
      <c r="D15" s="14">
        <f>IFERROR(ROUND(C15/((Settings!$B$3/100)^2),1),"")</f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2" x14ac:dyDescent="0.3">
      <c r="A16" s="28"/>
      <c r="B16" s="12" t="str">
        <f t="shared" si="0"/>
        <v/>
      </c>
      <c r="C16" s="29"/>
      <c r="D16" s="12">
        <f>IFERROR(ROUND(C16/((Settings!$B$3/100)^2),1),"")</f>
        <v>0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30"/>
      <c r="B17" s="14" t="str">
        <f t="shared" si="0"/>
        <v/>
      </c>
      <c r="C17" s="31"/>
      <c r="D17" s="14">
        <f>IFERROR(ROUND(C17/((Settings!$B$3/100)^2),1),"")</f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x14ac:dyDescent="0.3">
      <c r="A18" s="28"/>
      <c r="B18" s="12" t="str">
        <f t="shared" si="0"/>
        <v/>
      </c>
      <c r="C18" s="29"/>
      <c r="D18" s="12">
        <f>IFERROR(ROUND(C18/((Settings!$B$3/100)^2),1),"")</f>
        <v>0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30"/>
      <c r="B19" s="14" t="str">
        <f t="shared" si="0"/>
        <v/>
      </c>
      <c r="C19" s="31"/>
      <c r="D19" s="14">
        <f>IFERROR(ROUND(C19/((Settings!$B$3/100)^2),1),"")</f>
        <v>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x14ac:dyDescent="0.3">
      <c r="A20" s="28"/>
      <c r="B20" s="12" t="str">
        <f t="shared" si="0"/>
        <v/>
      </c>
      <c r="C20" s="29"/>
      <c r="D20" s="12">
        <f>IFERROR(ROUND(C20/((Settings!$B$3/100)^2),1),"")</f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30"/>
      <c r="B21" s="14" t="str">
        <f t="shared" si="0"/>
        <v/>
      </c>
      <c r="C21" s="31"/>
      <c r="D21" s="14">
        <f>IFERROR(ROUND(C21/((Settings!$B$3/100)^2),1),"")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x14ac:dyDescent="0.3">
      <c r="A22" s="28"/>
      <c r="B22" s="12" t="str">
        <f t="shared" si="0"/>
        <v/>
      </c>
      <c r="C22" s="29"/>
      <c r="D22" s="12">
        <f>IFERROR(ROUND(C22/((Settings!$B$3/100)^2),1),"")</f>
        <v>0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30"/>
      <c r="B23" s="14" t="str">
        <f t="shared" si="0"/>
        <v/>
      </c>
      <c r="C23" s="31"/>
      <c r="D23" s="14">
        <f>IFERROR(ROUND(C23/((Settings!$B$3/100)^2),1),"")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x14ac:dyDescent="0.3">
      <c r="A24" s="28"/>
      <c r="B24" s="12" t="str">
        <f t="shared" si="0"/>
        <v/>
      </c>
      <c r="C24" s="29"/>
      <c r="D24" s="12">
        <f>IFERROR(ROUND(C24/((Settings!$B$3/100)^2),1),"")</f>
        <v>0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30"/>
      <c r="B25" s="14" t="str">
        <f t="shared" si="0"/>
        <v/>
      </c>
      <c r="C25" s="31"/>
      <c r="D25" s="14">
        <f>IFERROR(ROUND(C25/((Settings!$B$3/100)^2),1),"")</f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x14ac:dyDescent="0.3">
      <c r="A26" s="28"/>
      <c r="B26" s="12" t="str">
        <f t="shared" si="0"/>
        <v/>
      </c>
      <c r="C26" s="29"/>
      <c r="D26" s="12">
        <f>IFERROR(ROUND(C26/((Settings!$B$3/100)^2),1),"")</f>
        <v>0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30"/>
      <c r="B27" s="14" t="str">
        <f t="shared" si="0"/>
        <v/>
      </c>
      <c r="C27" s="31"/>
      <c r="D27" s="14">
        <f>IFERROR(ROUND(C27/((Settings!$B$3/100)^2),1),"")</f>
        <v>0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x14ac:dyDescent="0.3">
      <c r="A28" s="28"/>
      <c r="B28" s="12" t="str">
        <f t="shared" si="0"/>
        <v/>
      </c>
      <c r="C28" s="29"/>
      <c r="D28" s="12">
        <f>IFERROR(ROUND(C28/((Settings!$B$3/100)^2),1),"")</f>
        <v>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3">
      <c r="A29" s="30"/>
      <c r="B29" s="14" t="str">
        <f t="shared" si="0"/>
        <v/>
      </c>
      <c r="C29" s="31"/>
      <c r="D29" s="14">
        <f>IFERROR(ROUND(C29/((Settings!$B$3/100)^2),1),"")</f>
        <v>0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x14ac:dyDescent="0.3">
      <c r="A30" s="28"/>
      <c r="B30" s="12" t="str">
        <f t="shared" si="0"/>
        <v/>
      </c>
      <c r="C30" s="29"/>
      <c r="D30" s="12">
        <f>IFERROR(ROUND(C30/((Settings!$B$3/100)^2),1),"")</f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30"/>
      <c r="B31" s="14" t="str">
        <f t="shared" si="0"/>
        <v/>
      </c>
      <c r="C31" s="31"/>
      <c r="D31" s="14">
        <f>IFERROR(ROUND(C31/((Settings!$B$3/100)^2),1),"")</f>
        <v>0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x14ac:dyDescent="0.3">
      <c r="A32" s="28"/>
      <c r="B32" s="12" t="str">
        <f t="shared" si="0"/>
        <v/>
      </c>
      <c r="C32" s="29"/>
      <c r="D32" s="12">
        <f>IFERROR(ROUND(C32/((Settings!$B$3/100)^2),1),"")</f>
        <v>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30"/>
      <c r="B33" s="14" t="str">
        <f t="shared" si="0"/>
        <v/>
      </c>
      <c r="C33" s="31"/>
      <c r="D33" s="14">
        <f>IFERROR(ROUND(C33/((Settings!$B$3/100)^2),1),"")</f>
        <v>0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</sheetData>
  <mergeCells count="1">
    <mergeCell ref="A1:V1"/>
  </mergeCells>
  <conditionalFormatting sqref="F3:F33">
    <cfRule type="dataBar" priority="2">
      <dataBar>
        <cfvo type="num" val="0"/>
        <cfvo type="num" val="15000"/>
        <color rgb="FF7C3AED"/>
      </dataBar>
      <extLst>
        <ext xmlns:x14="http://schemas.microsoft.com/office/spreadsheetml/2009/9/main" uri="{B025F937-C7B1-47D3-B67F-A62EFF666E3E}">
          <x14:id>{C7E46EF0-BBF1-4B25-A8D3-C728EC7C7784}</x14:id>
        </ext>
      </extLst>
    </cfRule>
  </conditionalFormatting>
  <conditionalFormatting sqref="J3:J33">
    <cfRule type="dataBar" priority="3">
      <dataBar>
        <cfvo type="num" val="0"/>
        <cfvo type="num" val="4"/>
        <color rgb="FF0EA5A5"/>
      </dataBar>
      <extLst>
        <ext xmlns:x14="http://schemas.microsoft.com/office/spreadsheetml/2009/9/main" uri="{B025F937-C7B1-47D3-B67F-A62EFF666E3E}">
          <x14:id>{30C1A76D-BD91-4C81-9D13-4E121A74A0DD}</x14:id>
        </ext>
      </extLst>
    </cfRule>
  </conditionalFormatting>
  <conditionalFormatting sqref="K3:K33">
    <cfRule type="dataBar" priority="4">
      <dataBar>
        <cfvo type="num" val="0"/>
        <cfvo type="num" val="10"/>
        <color rgb="FFF59E0B"/>
      </dataBar>
      <extLst>
        <ext xmlns:x14="http://schemas.microsoft.com/office/spreadsheetml/2009/9/main" uri="{B025F937-C7B1-47D3-B67F-A62EFF666E3E}">
          <x14:id>{ECEDE752-C013-43DB-9830-2A3B60EAE556}</x14:id>
        </ext>
      </extLst>
    </cfRule>
  </conditionalFormatting>
  <conditionalFormatting sqref="R3:R33">
    <cfRule type="iconSet" priority="5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E46EF0-BBF1-4B25-A8D3-C728EC7C7784}">
            <x14:dataBar axisPosition="none">
              <x14:cfvo type="num">
                <xm:f>0</xm:f>
              </x14:cfvo>
              <x14:cfvo type="num">
                <xm:f>15000</xm:f>
              </x14:cfvo>
              <x14:negativeFillColor rgb="FF7C3AED"/>
            </x14:dataBar>
          </x14:cfRule>
          <xm:sqref>F3:F33</xm:sqref>
        </x14:conditionalFormatting>
        <x14:conditionalFormatting xmlns:xm="http://schemas.microsoft.com/office/excel/2006/main">
          <x14:cfRule type="dataBar" id="{30C1A76D-BD91-4C81-9D13-4E121A74A0DD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0EA5A5"/>
            </x14:dataBar>
          </x14:cfRule>
          <xm:sqref>J3:J33</xm:sqref>
        </x14:conditionalFormatting>
        <x14:conditionalFormatting xmlns:xm="http://schemas.microsoft.com/office/excel/2006/main">
          <x14:cfRule type="dataBar" id="{ECEDE752-C013-43DB-9830-2A3B60EAE556}">
            <x14:dataBar axisPosition="none">
              <x14:cfvo type="num">
                <xm:f>0</xm:f>
              </x14:cfvo>
              <x14:cfvo type="num">
                <xm:f>10</xm:f>
              </x14:cfvo>
              <x14:negativeFillColor rgb="FFF59E0B"/>
            </x14:dataBar>
          </x14:cfRule>
          <xm:sqref>K3:K33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E00-000000000000}">
          <x14:formula1>
            <xm:f>Lists!$A$2:$A$11</xm:f>
          </x14:formula1>
          <x14:formula2>
            <xm:f>0</xm:f>
          </x14:formula2>
          <xm:sqref>P3:P33</xm:sqref>
        </x14:dataValidation>
        <x14:dataValidation type="list" allowBlank="1" xr:uid="{00000000-0002-0000-0E00-000001000000}">
          <x14:formula1>
            <xm:f>Lists!$B$2:$B$3</xm:f>
          </x14:formula1>
          <x14:formula2>
            <xm:f>0</xm:f>
          </x14:formula2>
          <xm:sqref>N3:N33</xm:sqref>
        </x14:dataValidation>
        <x14:dataValidation type="list" allowBlank="1" xr:uid="{00000000-0002-0000-0E00-000002000000}">
          <x14:formula1>
            <xm:f>Lists!$C$2:$C$5</xm:f>
          </x14:formula1>
          <x14:formula2>
            <xm:f>0</xm:f>
          </x14:formula2>
          <xm:sqref>L3:L33</xm:sqref>
        </x14:dataValidation>
        <x14:dataValidation type="list" allowBlank="1" xr:uid="{00000000-0002-0000-0E00-000003000000}">
          <x14:formula1>
            <xm:f>Lists!$D$2:$D$4</xm:f>
          </x14:formula1>
          <x14:formula2>
            <xm:f>0</xm:f>
          </x14:formula2>
          <xm:sqref>Q3:Q33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Lists</vt:lpstr>
      <vt:lpstr>Settings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nayan wasnik</cp:lastModifiedBy>
  <cp:revision>1</cp:revision>
  <dcterms:created xsi:type="dcterms:W3CDTF">2026-08-29T10:30:29Z</dcterms:created>
  <dcterms:modified xsi:type="dcterms:W3CDTF">2026-08-29T10:41:31Z</dcterms:modified>
  <dc:language>en-US</dc:language>
</cp:coreProperties>
</file>